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nh\Documents\GitHub\IDAES-Steam-System\"/>
    </mc:Choice>
  </mc:AlternateContent>
  <xr:revisionPtr revIDLastSave="0" documentId="13_ncr:1_{4775503E-C4EE-436B-AD3D-575AA2EB8F50}" xr6:coauthVersionLast="47" xr6:coauthVersionMax="47" xr10:uidLastSave="{00000000-0000-0000-0000-000000000000}"/>
  <bookViews>
    <workbookView xWindow="57360" yWindow="3465" windowWidth="29280" windowHeight="15960" tabRatio="676" activeTab="3" xr2:uid="{E8D5325B-9666-424E-8443-ECBB88840437}"/>
  </bookViews>
  <sheets>
    <sheet name="Steam Demand Data" sheetId="23" r:id="rId1"/>
    <sheet name="Scenario Setup" sheetId="22" r:id="rId2"/>
    <sheet name="ML Parameters" sheetId="24" r:id="rId3"/>
    <sheet name="Flowsheet" sheetId="20" r:id="rId4"/>
    <sheet name="Results Summary" sheetId="25" r:id="rId5"/>
  </sheets>
  <functionGroups builtInGroupCount="19"/>
  <externalReferences>
    <externalReference r:id="rId6"/>
  </externalReferences>
  <definedNames>
    <definedName name="_xleta.SUM" hidden="1" xlm="1">#NAME?</definedName>
    <definedName name="ContamHR">#REF!</definedName>
    <definedName name="ContamHRTest">#REF!</definedName>
    <definedName name="ContamToDrain">#REF!</definedName>
    <definedName name="dT_4E6">#REF!</definedName>
    <definedName name="dT_5E7">#REF!</definedName>
    <definedName name="dTmin_plate">#REF!</definedName>
    <definedName name="dtmin_shell">#REF!</definedName>
    <definedName name="h_0_demin_loop">#REF!</definedName>
    <definedName name="h_0_header_loop">#REF!</definedName>
    <definedName name="h_1_demin_loop">#REF!</definedName>
    <definedName name="h_1_header_loop">#REF!</definedName>
    <definedName name="h_max_demin_loop">#REF!</definedName>
    <definedName name="h_ref">#REF!</definedName>
    <definedName name="m_stm_0">#REF!</definedName>
    <definedName name="m_stm_1">#REF!</definedName>
    <definedName name="min_FCPre">#REF!</definedName>
    <definedName name="min_SteamStrip">#REF!</definedName>
    <definedName name="min_TrimCW">#REF!</definedName>
    <definedName name="P_Strip">#REF!</definedName>
    <definedName name="Pv_4E5">#REF!</definedName>
    <definedName name="Pv_4SC">#REF!</definedName>
    <definedName name="Pv_5E6">#REF!</definedName>
    <definedName name="Pv_5E7">#REF!</definedName>
    <definedName name="RH_air">#REF!</definedName>
    <definedName name="solver_adj" localSheetId="3" hidden="1">Flowsheet!$CE$121:$CE$122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Flowsheet!$CG$145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_2SC1mill">#REF!</definedName>
    <definedName name="T_3CDHX">#REF!</definedName>
    <definedName name="T_BoreHW">#REF!</definedName>
    <definedName name="T_cond1millSC">#REF!</definedName>
    <definedName name="T_SCbypass1mill">#REF!</definedName>
    <definedName name="T_turps1mill">#REF!</definedName>
    <definedName name="T_WaikatoHW">#REF!</definedName>
    <definedName name="Tair">#REF!</definedName>
    <definedName name="Tin_5SC">#REF!</definedName>
    <definedName name="Tin_bore">#REF!</definedName>
    <definedName name="Tin_BSWDilution">#REF!</definedName>
    <definedName name="Tin_BSWFiltrate">#REF!</definedName>
    <definedName name="Tin_demin">#REF!</definedName>
    <definedName name="Tin_FCPre">#REF!</definedName>
    <definedName name="Tin_HotBlowFiltrate">#REF!</definedName>
    <definedName name="Tin_NCGScrubber">#REF!</definedName>
    <definedName name="Tin_pokai">#REF!</definedName>
    <definedName name="Tin_TrimMix">#REF!</definedName>
    <definedName name="Tin_VapSecSC">#REF!</definedName>
    <definedName name="Tin_waik">#REF!</definedName>
    <definedName name="Tin_WaterToFlashSteam">#REF!</definedName>
    <definedName name="Tin_WBL_4E6">#REF!</definedName>
    <definedName name="Tin_WBL_5E7">#REF!</definedName>
    <definedName name="Tin_WBLCooler">#REF!</definedName>
    <definedName name="Tout_BSWDilution">#REF!</definedName>
    <definedName name="Tout_BSWFiltrate">#REF!</definedName>
    <definedName name="Tout_CWBSWDilution">#REF!</definedName>
    <definedName name="Tout_CWBSWFiltrate">#REF!</definedName>
    <definedName name="Tout_CWChip">#REF!</definedName>
    <definedName name="Tout_CWFlashSteam">#REF!</definedName>
    <definedName name="Tout_CWWBLCooler">#REF!</definedName>
    <definedName name="Tout_DDWHX">#REF!</definedName>
    <definedName name="Tout_FCPre">#REF!</definedName>
    <definedName name="Tout_HotBlowFiltrate">#REF!</definedName>
    <definedName name="Tout_StbyHX">#REF!</definedName>
    <definedName name="Tout_TrimCW">#REF!</definedName>
    <definedName name="Tout_WBL_4E5">#REF!</definedName>
    <definedName name="Tout_WBL_4E6">#REF!</definedName>
    <definedName name="Tout_WBLCooler">#REF!</definedName>
    <definedName name="Tout_WLCooler">#REF!</definedName>
    <definedName name="Tv_4SC">#REF!</definedName>
    <definedName name="Tv_5E7">#REF!</definedName>
    <definedName name="V_2SC1mill">#REF!</definedName>
    <definedName name="V_3CDHX">#REF!</definedName>
    <definedName name="V_BoreToFines">#REF!</definedName>
    <definedName name="V_Cboretochip">#REF!</definedName>
    <definedName name="V_CHWtocaustic">#REF!</definedName>
    <definedName name="V_CHWToPulp">#REF!</definedName>
    <definedName name="V_CHWToPW3a">#REF!</definedName>
    <definedName name="V_CHWToPW3b">#REF!</definedName>
    <definedName name="V_cond1millSC">#REF!</definedName>
    <definedName name="V_DDwash">#REF!</definedName>
    <definedName name="V_HWToBP">#REF!</definedName>
    <definedName name="V_HWToDilScrew">#REF!</definedName>
    <definedName name="V_HWToDOwash">#REF!</definedName>
    <definedName name="V_HWToPD2">#REF!</definedName>
    <definedName name="V_IDPtoFlashCond">#REF!</definedName>
    <definedName name="V_SCbypass1mill">#REF!</definedName>
    <definedName name="V_turps1mill">#REF!</definedName>
    <definedName name="V_WarmDilutionScrew">#REF!</definedName>
    <definedName name="Vin_5SC">#REF!</definedName>
    <definedName name="Vin_BSWDilution">#REF!</definedName>
    <definedName name="Vin_BSWFiltrate">#REF!</definedName>
    <definedName name="Vin_HotBlowFiltrate">#REF!</definedName>
    <definedName name="Vin_NCGScrubber">#REF!</definedName>
    <definedName name="Vin_PokaiPrimSC">#REF!</definedName>
    <definedName name="Vin_PokaiSecSC">#REF!</definedName>
    <definedName name="Vin_WBLCooler">#REF!</definedName>
    <definedName name="Vin_WLCooler">#REF!</definedName>
    <definedName name="Vl_4E6">#REF!</definedName>
    <definedName name="Vl_5E7">#REF!</definedName>
    <definedName name="Vl_E6">#REF!</definedName>
    <definedName name="Vout_StbyHX">#REF!</definedName>
    <definedName name="Xsolids_4E6">#REF!</definedName>
    <definedName name="Xsolids_5E7">#REF!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P124" i="20" l="1"/>
  <c r="CL146" i="20" l="1"/>
  <c r="CM146" i="20"/>
  <c r="CN146" i="20" s="1"/>
  <c r="CL147" i="20"/>
  <c r="CM147" i="20"/>
  <c r="CN147" i="20" s="1"/>
  <c r="CL148" i="20"/>
  <c r="CM148" i="20"/>
  <c r="CN148" i="20"/>
  <c r="CL149" i="20"/>
  <c r="CM149" i="20"/>
  <c r="CN149" i="20"/>
  <c r="CL150" i="20"/>
  <c r="CM150" i="20"/>
  <c r="CN150" i="20" s="1"/>
  <c r="CL151" i="20"/>
  <c r="CM151" i="20"/>
  <c r="CN151" i="20"/>
  <c r="CL152" i="20"/>
  <c r="CM152" i="20"/>
  <c r="CN152" i="20"/>
  <c r="CL153" i="20"/>
  <c r="CM153" i="20"/>
  <c r="CN153" i="20"/>
  <c r="CN136" i="20"/>
  <c r="CN137" i="20"/>
  <c r="CN138" i="20"/>
  <c r="CN135" i="20"/>
  <c r="CM135" i="20"/>
  <c r="CM137" i="20"/>
  <c r="CM138" i="20"/>
  <c r="CM139" i="20"/>
  <c r="CN139" i="20" s="1"/>
  <c r="CM140" i="20"/>
  <c r="CN140" i="20" s="1"/>
  <c r="CM141" i="20"/>
  <c r="CN141" i="20" s="1"/>
  <c r="CM142" i="20"/>
  <c r="CN142" i="20" s="1"/>
  <c r="CM143" i="20"/>
  <c r="CN143" i="20" s="1"/>
  <c r="CM144" i="20"/>
  <c r="CN144" i="20" s="1"/>
  <c r="CM145" i="20"/>
  <c r="CN145" i="20" s="1"/>
  <c r="CM136" i="20"/>
  <c r="CL145" i="20"/>
  <c r="CL124" i="20" s="1"/>
  <c r="CL144" i="20"/>
  <c r="CL143" i="20"/>
  <c r="CL142" i="20"/>
  <c r="CL141" i="20"/>
  <c r="CL140" i="20"/>
  <c r="CL139" i="20"/>
  <c r="CL138" i="20"/>
  <c r="CL137" i="20"/>
  <c r="CL136" i="20"/>
  <c r="CL135" i="20"/>
  <c r="CD134" i="20"/>
  <c r="CD135" i="20"/>
  <c r="CD136" i="20"/>
  <c r="CD137" i="20"/>
  <c r="CD138" i="20"/>
  <c r="CD139" i="20"/>
  <c r="CD140" i="20"/>
  <c r="CD141" i="20"/>
  <c r="CD142" i="20"/>
  <c r="CD143" i="20"/>
  <c r="CD144" i="20"/>
  <c r="CF136" i="20"/>
  <c r="CF137" i="20"/>
  <c r="CF138" i="20"/>
  <c r="CF139" i="20"/>
  <c r="CF140" i="20"/>
  <c r="CF141" i="20"/>
  <c r="CF142" i="20"/>
  <c r="CF143" i="20"/>
  <c r="CF144" i="20"/>
  <c r="CF135" i="20"/>
  <c r="BV140" i="20"/>
  <c r="BR141" i="20"/>
  <c r="BT144" i="20"/>
  <c r="BT141" i="20"/>
  <c r="BO171" i="20"/>
  <c r="J31" i="24"/>
  <c r="I31" i="24"/>
  <c r="I27" i="24"/>
  <c r="I28" i="24" s="1"/>
  <c r="I23" i="24"/>
  <c r="AL89" i="20" a="1"/>
  <c r="BG249" i="20" a="1"/>
  <c r="I46" i="20" a="1"/>
  <c r="S51" i="20" a="1"/>
  <c r="BO170" i="20" a="1"/>
  <c r="I73" i="20" a="1"/>
  <c r="AQ115" i="20" a="1"/>
  <c r="AI64" i="20" a="1"/>
  <c r="R74" i="20" a="1"/>
  <c r="BI115" i="20" a="1"/>
  <c r="AI74" i="20" a="1"/>
  <c r="AL87" i="20" a="1"/>
  <c r="I48" i="20" a="1"/>
  <c r="BW267" i="20" a="1"/>
  <c r="BL246" i="20" a="1"/>
  <c r="CG126" i="20" a="1"/>
  <c r="CG127" i="20" a="1"/>
  <c r="BS115" i="20" a="1"/>
  <c r="BG253" i="20" a="1"/>
  <c r="AQ73" i="20" a="1"/>
  <c r="AC47" i="20" a="1"/>
  <c r="BI87" i="20" a="1"/>
  <c r="BI89" i="20" a="1"/>
  <c r="AL48" i="20" a="1"/>
  <c r="I71" i="20" a="1"/>
  <c r="D123" i="20" a="1"/>
  <c r="BG252" i="20" a="1"/>
  <c r="AJ127" i="20" a="1"/>
  <c r="BC194" i="20" a="1"/>
  <c r="Z73" i="20" a="1"/>
  <c r="AQ71" i="20" a="1"/>
  <c r="BS114" i="20" a="1"/>
  <c r="BW284" i="20" a="1"/>
  <c r="Z71" i="20" a="1"/>
  <c r="BE51" i="20" a="1"/>
  <c r="AL134" i="20" a="1"/>
  <c r="P57" i="20" a="1"/>
  <c r="AX60" i="20" a="1"/>
  <c r="BV299" i="20" a="1"/>
  <c r="AL133" i="20" a="1"/>
  <c r="BS253" i="20" a="1"/>
  <c r="P35" i="20" a="1"/>
  <c r="BI118" i="20" a="1"/>
  <c r="BO266" i="20" a="1"/>
  <c r="BV226" i="20" a="1"/>
  <c r="BE35" i="20" a="1"/>
  <c r="BS252" i="20" a="1"/>
  <c r="AI142" i="20" a="1"/>
  <c r="BE82" i="20" a="1"/>
  <c r="L47" i="20" a="1"/>
  <c r="BI119" i="20" a="1"/>
  <c r="AF42" i="20" a="1"/>
  <c r="CG126" i="20" l="1"/>
  <c r="CG127" i="20"/>
  <c r="BW267" i="20"/>
  <c r="BG252" i="20"/>
  <c r="AL133" i="20"/>
  <c r="BS252" i="20"/>
  <c r="AI142" i="20"/>
  <c r="AI64" i="20"/>
  <c r="Z71" i="20"/>
  <c r="AL89" i="20"/>
  <c r="BS115" i="20"/>
  <c r="BW284" i="20"/>
  <c r="BC194" i="20"/>
  <c r="I71" i="20"/>
  <c r="R74" i="20"/>
  <c r="AC47" i="20"/>
  <c r="AL134" i="20"/>
  <c r="BS253" i="20"/>
  <c r="I48" i="20"/>
  <c r="AL87" i="20"/>
  <c r="P35" i="20"/>
  <c r="BO170" i="20"/>
  <c r="BE51" i="20"/>
  <c r="BI119" i="20"/>
  <c r="AX60" i="20"/>
  <c r="AQ71" i="20"/>
  <c r="AI74" i="20"/>
  <c r="BI118" i="20"/>
  <c r="D123" i="20"/>
  <c r="BO266" i="20"/>
  <c r="BV226" i="20"/>
  <c r="BS114" i="20"/>
  <c r="BI87" i="20"/>
  <c r="BG253" i="20"/>
  <c r="BV299" i="20"/>
  <c r="AQ73" i="20"/>
  <c r="AQ115" i="20"/>
  <c r="BE35" i="20"/>
  <c r="BL246" i="20"/>
  <c r="S51" i="20"/>
  <c r="I46" i="20"/>
  <c r="L47" i="20"/>
  <c r="P57" i="20"/>
  <c r="BE82" i="20"/>
  <c r="AJ127" i="20"/>
  <c r="BG249" i="20"/>
  <c r="Z73" i="20"/>
  <c r="AL48" i="20"/>
  <c r="AF42" i="20"/>
  <c r="BI89" i="20"/>
  <c r="I73" i="20"/>
  <c r="BI115" i="20"/>
  <c r="F8" i="25"/>
  <c r="H8" i="25"/>
  <c r="H5" i="25"/>
  <c r="H10" i="25" s="1"/>
  <c r="H11" i="25" s="1"/>
  <c r="O10" i="25"/>
  <c r="Q10" i="25" s="1"/>
  <c r="R10" i="25" s="1"/>
  <c r="O11" i="25"/>
  <c r="O9" i="25"/>
  <c r="Q11" i="25"/>
  <c r="R11" i="25" s="1"/>
  <c r="L8" i="25"/>
  <c r="M7" i="25"/>
  <c r="N7" i="25" s="1"/>
  <c r="Q9" i="25"/>
  <c r="R9" i="25" s="1"/>
  <c r="Q8" i="25"/>
  <c r="R8" i="25" s="1"/>
  <c r="Q7" i="25"/>
  <c r="R7" i="25" s="1"/>
  <c r="Q6" i="25"/>
  <c r="R6" i="25" s="1"/>
  <c r="L6" i="25"/>
  <c r="P4" i="25"/>
  <c r="L5" i="25"/>
  <c r="Q5" i="25"/>
  <c r="R5" i="25" s="1"/>
  <c r="I24" i="25"/>
  <c r="H24" i="25"/>
  <c r="J8" i="25"/>
  <c r="J5" i="25"/>
  <c r="J10" i="25" s="1"/>
  <c r="J11" i="25" s="1"/>
  <c r="I8" i="25"/>
  <c r="I5" i="25"/>
  <c r="I10" i="25" s="1"/>
  <c r="I11" i="25" s="1"/>
  <c r="G10" i="25"/>
  <c r="G11" i="25" s="1"/>
  <c r="F10" i="25"/>
  <c r="D7" i="25"/>
  <c r="G28" i="25"/>
  <c r="G29" i="25"/>
  <c r="G25" i="25"/>
  <c r="F28" i="25"/>
  <c r="F29" i="25"/>
  <c r="F25" i="25"/>
  <c r="AI75" i="20" a="1"/>
  <c r="CG128" i="20" a="1"/>
  <c r="R75" i="20" a="1"/>
  <c r="BV227" i="20" a="1"/>
  <c r="CG128" i="20" l="1"/>
  <c r="CG129" i="20" s="1"/>
  <c r="CG130" i="20" s="1"/>
  <c r="R75" i="20"/>
  <c r="BV227" i="20"/>
  <c r="AI75" i="20"/>
  <c r="F11" i="25"/>
  <c r="M6" i="25"/>
  <c r="N6" i="25"/>
  <c r="M8" i="25"/>
  <c r="N8" i="25" s="1"/>
  <c r="S8" i="25" s="1"/>
  <c r="M9" i="25"/>
  <c r="M11" i="25"/>
  <c r="N11" i="25" s="1"/>
  <c r="S11" i="25"/>
  <c r="S7" i="25"/>
  <c r="S6" i="25"/>
  <c r="CE134" i="20" l="1"/>
  <c r="CF134" i="20" s="1"/>
  <c r="CE135" i="20"/>
  <c r="CG135" i="20" s="1"/>
  <c r="CE136" i="20"/>
  <c r="CG136" i="20" s="1"/>
  <c r="CE138" i="20"/>
  <c r="CG138" i="20" s="1"/>
  <c r="CE139" i="20"/>
  <c r="CG139" i="20" s="1"/>
  <c r="CE140" i="20"/>
  <c r="CG140" i="20" s="1"/>
  <c r="CE141" i="20"/>
  <c r="CG141" i="20" s="1"/>
  <c r="CE142" i="20"/>
  <c r="CG142" i="20" s="1"/>
  <c r="CE143" i="20"/>
  <c r="CG143" i="20" s="1"/>
  <c r="CE144" i="20"/>
  <c r="CE137" i="20"/>
  <c r="CG137" i="20" s="1"/>
  <c r="T7" i="25"/>
  <c r="U7" i="25"/>
  <c r="T6" i="25"/>
  <c r="U6" i="25"/>
  <c r="T11" i="25"/>
  <c r="U11" i="25"/>
  <c r="N9" i="25"/>
  <c r="S9" i="25" s="1"/>
  <c r="M10" i="25"/>
  <c r="N10" i="25" s="1"/>
  <c r="S10" i="25" s="1"/>
  <c r="T8" i="25"/>
  <c r="U8" i="25"/>
  <c r="CE123" i="20" l="1"/>
  <c r="CG144" i="20"/>
  <c r="CG145" i="20" s="1"/>
  <c r="T9" i="25"/>
  <c r="U9" i="25"/>
  <c r="T10" i="25"/>
  <c r="U10" i="25"/>
  <c r="O7" i="22"/>
  <c r="O6" i="22"/>
  <c r="O8" i="22" a="1"/>
  <c r="O8" i="22" l="1"/>
  <c r="E16" i="25" l="1"/>
  <c r="D10" i="25"/>
  <c r="D23" i="25"/>
  <c r="D25" i="25" s="1"/>
  <c r="D20" i="25"/>
  <c r="D22" i="25" s="1"/>
  <c r="D11" i="25" l="1"/>
  <c r="M4" i="25"/>
  <c r="D29" i="25"/>
  <c r="AF30" i="23" l="1"/>
  <c r="AB3" i="23"/>
  <c r="U11" i="23" s="1" a="1"/>
  <c r="U11" i="23" s="1"/>
  <c r="O7" i="23"/>
  <c r="M22" i="22"/>
  <c r="C29" i="22" a="1"/>
  <c r="L41" i="22" a="1"/>
  <c r="M21" i="22" a="1"/>
  <c r="U15" i="23" l="1" a="1"/>
  <c r="U15" i="23" s="1"/>
  <c r="U16" i="23" a="1"/>
  <c r="U16" i="23" s="1"/>
  <c r="O16" i="23" a="1"/>
  <c r="O16" i="23" s="1"/>
  <c r="O17" i="23" a="1"/>
  <c r="O17" i="23" s="1"/>
  <c r="U13" i="23" a="1"/>
  <c r="U13" i="23" s="1"/>
  <c r="U12" i="23" a="1"/>
  <c r="U12" i="23" s="1"/>
  <c r="U14" i="23" a="1"/>
  <c r="U14" i="23" s="1"/>
  <c r="C27" i="23" a="1"/>
  <c r="C27" i="23" s="1"/>
  <c r="O13" i="23" a="1"/>
  <c r="O13" i="23" s="1"/>
  <c r="O14" i="23" a="1"/>
  <c r="O14" i="23" s="1"/>
  <c r="C28" i="23" a="1"/>
  <c r="C28" i="23" s="1"/>
  <c r="U7" i="23" a="1"/>
  <c r="U7" i="23" s="1"/>
  <c r="U10" i="23" a="1"/>
  <c r="U10" i="23" s="1"/>
  <c r="U8" i="23" a="1"/>
  <c r="U8" i="23" s="1"/>
  <c r="C29" i="22"/>
  <c r="L41" i="22"/>
  <c r="M21" i="22"/>
  <c r="M23" i="22" s="1"/>
  <c r="E51" i="20"/>
  <c r="BK217" i="20"/>
  <c r="AD49" i="23"/>
  <c r="AE49" i="23"/>
  <c r="AF49" i="23"/>
  <c r="AG49" i="23"/>
  <c r="AC49" i="23"/>
  <c r="AC42" i="23"/>
  <c r="AD42" i="23"/>
  <c r="AE42" i="23"/>
  <c r="AF42" i="23"/>
  <c r="AG42" i="23"/>
  <c r="AC30" i="23"/>
  <c r="AD30" i="23"/>
  <c r="AE30" i="23"/>
  <c r="BK218" i="20" a="1"/>
  <c r="BK218" i="20" l="1"/>
  <c r="C29" i="23"/>
  <c r="U29" i="23"/>
  <c r="U28" i="23"/>
  <c r="U57" i="23" l="1"/>
  <c r="V57" i="23"/>
  <c r="N4" i="25"/>
  <c r="Q4" i="25"/>
  <c r="R4" i="25" s="1"/>
  <c r="S4" i="25" l="1"/>
  <c r="U4" i="25" s="1"/>
  <c r="W11" i="25" s="1"/>
  <c r="T4" i="25" l="1"/>
  <c r="G66" i="23"/>
  <c r="D69" i="23"/>
  <c r="G69" i="23" s="1"/>
  <c r="D68" i="23"/>
  <c r="G68" i="23" s="1"/>
  <c r="AQ78" i="20"/>
  <c r="U34" i="23"/>
  <c r="E20" i="25" l="1"/>
  <c r="H20" i="25" s="1"/>
  <c r="AA24" i="20"/>
  <c r="C22" i="24"/>
  <c r="C23" i="24"/>
  <c r="C24" i="24"/>
  <c r="C25" i="24"/>
  <c r="C21" i="24"/>
  <c r="C5" i="24"/>
  <c r="BW244" i="20"/>
  <c r="BW243" i="20" a="1"/>
  <c r="BW243" i="20" l="1"/>
  <c r="I20" i="25"/>
  <c r="BW242" i="20"/>
  <c r="BO250" i="20"/>
  <c r="BO249" i="20" a="1"/>
  <c r="BO249" i="20" l="1"/>
  <c r="BU198" i="20"/>
  <c r="BW247" i="20" a="1"/>
  <c r="BW246" i="20" a="1"/>
  <c r="BW246" i="20" l="1"/>
  <c r="BW247" i="20"/>
  <c r="C7" i="24"/>
  <c r="BW271" i="20" a="1"/>
  <c r="BW271" i="20" l="1"/>
  <c r="BK193" i="20"/>
  <c r="BP192" i="20" l="1"/>
  <c r="BS215" i="20"/>
  <c r="BW210" i="20"/>
  <c r="BK192" i="20" a="1"/>
  <c r="CA223" i="20" a="1"/>
  <c r="CA223" i="20" l="1"/>
  <c r="BW211" i="20" s="1"/>
  <c r="BK192" i="20"/>
  <c r="BW209" i="20" a="1"/>
  <c r="BW209" i="20" l="1"/>
  <c r="AB4" i="23"/>
  <c r="O9" i="23" l="1"/>
  <c r="F25" i="24"/>
  <c r="N62" i="20"/>
  <c r="E69" i="20" l="1"/>
  <c r="R101" i="20"/>
  <c r="D15" i="25" s="1"/>
  <c r="D16" i="25" s="1"/>
  <c r="Z78" i="20"/>
  <c r="BI152" i="20"/>
  <c r="F48" i="24"/>
  <c r="F35" i="24"/>
  <c r="Q161" i="20"/>
  <c r="AA168" i="20" s="1"/>
  <c r="C31" i="24"/>
  <c r="C28" i="24"/>
  <c r="C4" i="24"/>
  <c r="C9" i="24"/>
  <c r="C6" i="24"/>
  <c r="C38" i="24"/>
  <c r="C37" i="24"/>
  <c r="F14" i="24"/>
  <c r="C45" i="24" s="1"/>
  <c r="C17" i="24" s="1"/>
  <c r="F44" i="24" s="1"/>
  <c r="F11" i="24"/>
  <c r="C42" i="24" s="1"/>
  <c r="C14" i="24" s="1"/>
  <c r="F41" i="24" s="1"/>
  <c r="F9" i="24"/>
  <c r="C40" i="24" s="1"/>
  <c r="C12" i="24" s="1"/>
  <c r="F39" i="24" s="1"/>
  <c r="O31" i="23"/>
  <c r="O20" i="23"/>
  <c r="O19" i="23"/>
  <c r="O18" i="23"/>
  <c r="U17" i="23"/>
  <c r="O15" i="23"/>
  <c r="O12" i="23"/>
  <c r="O11" i="23"/>
  <c r="O10" i="23"/>
  <c r="U9" i="23"/>
  <c r="O8" i="23"/>
  <c r="I7" i="23"/>
  <c r="F7" i="24"/>
  <c r="F6" i="24"/>
  <c r="F5" i="24"/>
  <c r="C51" i="24"/>
  <c r="F20" i="24"/>
  <c r="C60" i="24"/>
  <c r="C10" i="24" s="1"/>
  <c r="C58" i="24"/>
  <c r="C57" i="24"/>
  <c r="C56" i="24"/>
  <c r="C54" i="24"/>
  <c r="C55" i="24"/>
  <c r="C53" i="24"/>
  <c r="AA166" i="20"/>
  <c r="AA165" i="20"/>
  <c r="F22" i="24"/>
  <c r="F29" i="24"/>
  <c r="F28" i="24"/>
  <c r="F27" i="24"/>
  <c r="F26" i="24"/>
  <c r="F24" i="24"/>
  <c r="F21" i="24"/>
  <c r="F31" i="24" s="1"/>
  <c r="M35" i="22"/>
  <c r="N35" i="22"/>
  <c r="BI151" i="20" a="1"/>
  <c r="BI151" i="20" l="1"/>
  <c r="E23" i="25"/>
  <c r="E25" i="25" s="1"/>
  <c r="I23" i="25"/>
  <c r="I29" i="25" s="1"/>
  <c r="L53" i="22"/>
  <c r="M53" i="22"/>
  <c r="L42" i="22" a="1"/>
  <c r="H23" i="25" l="1"/>
  <c r="H29" i="25" s="1"/>
  <c r="H25" i="25"/>
  <c r="I25" i="25"/>
  <c r="L42" i="22"/>
  <c r="L43" i="22" s="1"/>
  <c r="L22" i="22"/>
  <c r="L8" i="22" a="1"/>
  <c r="L15" i="22" a="1"/>
  <c r="N8" i="22" a="1"/>
  <c r="L21" i="22" a="1"/>
  <c r="M8" i="22" a="1"/>
  <c r="V47" i="23" l="1"/>
  <c r="AA89" i="20"/>
  <c r="L8" i="22"/>
  <c r="L15" i="22"/>
  <c r="L21" i="22"/>
  <c r="M8" i="22"/>
  <c r="N8" i="22"/>
  <c r="C30" i="22" a="1"/>
  <c r="F76" i="23" l="1"/>
  <c r="G76" i="23" s="1"/>
  <c r="O21" i="23"/>
  <c r="V48" i="23"/>
  <c r="C56" i="23"/>
  <c r="O50" i="23"/>
  <c r="E65" i="23" s="1"/>
  <c r="L23" i="22"/>
  <c r="N23" i="22" s="1"/>
  <c r="N21" i="22"/>
  <c r="C30" i="22"/>
  <c r="N22" i="22" l="1"/>
  <c r="F23" i="24" s="1"/>
  <c r="F32" i="24" s="1"/>
  <c r="L26" i="22" a="1"/>
  <c r="L26" i="22" l="1"/>
  <c r="L35" i="22"/>
  <c r="L28" i="22" a="1"/>
  <c r="L28" i="22" l="1"/>
  <c r="L27" i="22"/>
  <c r="L34" i="22" a="1"/>
  <c r="C47" i="22" l="1"/>
  <c r="C46" i="22"/>
  <c r="L34" i="22"/>
  <c r="M34" i="22" s="1"/>
  <c r="M52" i="22" a="1"/>
  <c r="C36" i="22" a="1"/>
  <c r="C36" i="22" l="1"/>
  <c r="C26" i="24"/>
  <c r="C29" i="24" s="1"/>
  <c r="L36" i="22"/>
  <c r="M52" i="22"/>
  <c r="N34" i="22"/>
  <c r="M36" i="22"/>
  <c r="C48" i="22" a="1"/>
  <c r="C35" i="22" a="1"/>
  <c r="C35" i="22" l="1"/>
  <c r="M41" i="22"/>
  <c r="F50" i="24"/>
  <c r="C48" i="22"/>
  <c r="M54" i="22"/>
  <c r="N36" i="22"/>
  <c r="C41" i="22" a="1"/>
  <c r="F4" i="24" l="1"/>
  <c r="C41" i="22"/>
  <c r="C52" i="24"/>
  <c r="C59" i="24" s="1"/>
  <c r="L52" i="22" a="1"/>
  <c r="C42" i="22" a="1"/>
  <c r="M42" i="22" a="1"/>
  <c r="L52" i="22" l="1"/>
  <c r="N52" i="22" s="1"/>
  <c r="C42" i="22"/>
  <c r="M42" i="22"/>
  <c r="M43" i="22" s="1"/>
  <c r="AM62" i="20"/>
  <c r="AN61" i="20"/>
  <c r="L54" i="22" l="1"/>
  <c r="N54" i="22" s="1"/>
  <c r="N53" i="22" s="1"/>
  <c r="C51" i="22" s="1"/>
  <c r="V61" i="20" s="1"/>
  <c r="AM63" i="20"/>
  <c r="C52" i="22" a="1"/>
  <c r="V62" i="20" l="1"/>
  <c r="C52" i="22"/>
  <c r="C36" i="24"/>
  <c r="AM60" i="20"/>
  <c r="T114" i="20"/>
  <c r="T112" i="20"/>
  <c r="H115" i="20"/>
  <c r="C53" i="22" a="1"/>
  <c r="AM61" i="20" a="1"/>
  <c r="T113" i="20" a="1"/>
  <c r="H116" i="20" a="1"/>
  <c r="H116" i="20" l="1"/>
  <c r="T113" i="20"/>
  <c r="AB6" i="23"/>
  <c r="AC6" i="23" s="1"/>
  <c r="U27" i="23" s="1"/>
  <c r="V59" i="20"/>
  <c r="C35" i="24"/>
  <c r="AB5" i="23"/>
  <c r="AC5" i="23" s="1"/>
  <c r="O30" i="23" s="1"/>
  <c r="U33" i="23"/>
  <c r="U59" i="23" s="1"/>
  <c r="C53" i="22"/>
  <c r="C27" i="24" s="1"/>
  <c r="C30" i="24" s="1"/>
  <c r="AM61" i="20"/>
  <c r="AM64" i="20" s="1"/>
  <c r="AB89" i="20"/>
  <c r="AB90" i="20"/>
  <c r="V64" i="20" a="1"/>
  <c r="AM65" i="20" a="1"/>
  <c r="V60" i="20" a="1"/>
  <c r="V64" i="20" l="1"/>
  <c r="V72" i="20" s="1"/>
  <c r="O29" i="23"/>
  <c r="E70" i="23" s="1"/>
  <c r="O27" i="23"/>
  <c r="W15" i="20" s="1"/>
  <c r="O28" i="23"/>
  <c r="V59" i="23"/>
  <c r="AA170" i="20"/>
  <c r="V56" i="23"/>
  <c r="U56" i="23"/>
  <c r="F51" i="24"/>
  <c r="V60" i="20"/>
  <c r="V63" i="20" s="1"/>
  <c r="AM65" i="20"/>
  <c r="AM73" i="20" s="1"/>
  <c r="AA90" i="20"/>
  <c r="AB166" i="20"/>
  <c r="W23" i="20" s="1"/>
  <c r="AB165" i="20"/>
  <c r="BO135" i="20"/>
  <c r="BW130" i="20"/>
  <c r="AG93" i="20"/>
  <c r="AO94" i="20"/>
  <c r="BM83" i="20"/>
  <c r="BE76" i="20"/>
  <c r="BR18" i="20"/>
  <c r="BR19" i="20"/>
  <c r="AU70" i="20"/>
  <c r="AD70" i="20"/>
  <c r="E70" i="20"/>
  <c r="N63" i="20"/>
  <c r="I49" i="20"/>
  <c r="W29" i="20"/>
  <c r="BR20" i="20"/>
  <c r="D15" i="20"/>
  <c r="BX9" i="20"/>
  <c r="BG9" i="20"/>
  <c r="Q8" i="20"/>
  <c r="K70" i="23"/>
  <c r="K68" i="23"/>
  <c r="D56" i="23"/>
  <c r="P52" i="23"/>
  <c r="AB129" i="20" s="1"/>
  <c r="O52" i="23"/>
  <c r="O51" i="23"/>
  <c r="J70" i="23" s="1"/>
  <c r="V50" i="23"/>
  <c r="AB161" i="20" s="1"/>
  <c r="U50" i="23"/>
  <c r="P50" i="23"/>
  <c r="AA128" i="20"/>
  <c r="V49" i="23"/>
  <c r="U49" i="23"/>
  <c r="O49" i="23"/>
  <c r="J68" i="23" s="1"/>
  <c r="AB164" i="20"/>
  <c r="U48" i="23"/>
  <c r="J72" i="23" s="1"/>
  <c r="P48" i="23"/>
  <c r="K67" i="23" s="1"/>
  <c r="O48" i="23"/>
  <c r="J67" i="23" s="1"/>
  <c r="AB160" i="20"/>
  <c r="U47" i="23"/>
  <c r="O47" i="23"/>
  <c r="I47" i="23"/>
  <c r="X37" i="23"/>
  <c r="C32" i="23"/>
  <c r="J7" i="23"/>
  <c r="K66" i="23" s="1"/>
  <c r="D17" i="20" a="1"/>
  <c r="AD72" i="20" a="1"/>
  <c r="BO138" i="20" a="1"/>
  <c r="BW129" i="20" a="1"/>
  <c r="BM86" i="20" a="1"/>
  <c r="AU73" i="20" a="1"/>
  <c r="AD73" i="20" a="1"/>
  <c r="BE212" i="20" a="1"/>
  <c r="N64" i="20" a="1"/>
  <c r="BO134" i="20" a="1"/>
  <c r="AG94" i="20" a="1"/>
  <c r="BM85" i="20" a="1"/>
  <c r="AK37" i="20" a="1"/>
  <c r="AU72" i="20" a="1"/>
  <c r="AV89" i="20" a="1"/>
  <c r="BM86" i="20" l="1"/>
  <c r="BM85" i="20"/>
  <c r="AG94" i="20"/>
  <c r="N64" i="20"/>
  <c r="BW129" i="20"/>
  <c r="D17" i="20"/>
  <c r="AV89" i="20"/>
  <c r="BO134" i="20"/>
  <c r="BE212" i="20"/>
  <c r="BO138" i="20"/>
  <c r="AK37" i="20"/>
  <c r="AD73" i="20"/>
  <c r="AD72" i="20"/>
  <c r="AU72" i="20"/>
  <c r="AU73" i="20"/>
  <c r="BE52" i="20"/>
  <c r="BE53" i="20" s="1"/>
  <c r="AC48" i="20"/>
  <c r="AC49" i="20" s="1"/>
  <c r="AX61" i="20"/>
  <c r="AX49" i="20" s="1"/>
  <c r="AC14" i="20"/>
  <c r="AB133" i="20"/>
  <c r="P56" i="23"/>
  <c r="E71" i="23"/>
  <c r="O56" i="23"/>
  <c r="AA133" i="20"/>
  <c r="AB170" i="20"/>
  <c r="AA169" i="20"/>
  <c r="AB169" i="20"/>
  <c r="AB128" i="20"/>
  <c r="K69" i="23"/>
  <c r="J69" i="23"/>
  <c r="AA163" i="20"/>
  <c r="F16" i="24" s="1"/>
  <c r="C47" i="24" s="1"/>
  <c r="C19" i="24" s="1"/>
  <c r="F46" i="24" s="1"/>
  <c r="J71" i="23"/>
  <c r="AB163" i="20"/>
  <c r="K71" i="23"/>
  <c r="AA164" i="20"/>
  <c r="F15" i="24" s="1"/>
  <c r="C46" i="24" s="1"/>
  <c r="C18" i="24" s="1"/>
  <c r="F45" i="24" s="1"/>
  <c r="D72" i="23"/>
  <c r="G72" i="23" s="1"/>
  <c r="AA161" i="20"/>
  <c r="D67" i="23"/>
  <c r="AA129" i="20"/>
  <c r="E67" i="23"/>
  <c r="E73" i="23"/>
  <c r="G73" i="23" s="1"/>
  <c r="AA160" i="20"/>
  <c r="F12" i="24" s="1"/>
  <c r="C43" i="24" s="1"/>
  <c r="C15" i="24" s="1"/>
  <c r="F42" i="24" s="1"/>
  <c r="D65" i="23"/>
  <c r="G65" i="23" s="1"/>
  <c r="U52" i="23"/>
  <c r="BW106" i="20"/>
  <c r="AA91" i="20"/>
  <c r="J66" i="23"/>
  <c r="K72" i="23"/>
  <c r="Y8" i="20"/>
  <c r="AA130" i="20"/>
  <c r="AB130" i="20"/>
  <c r="AF19" i="20" s="1"/>
  <c r="BJ101" i="20"/>
  <c r="BI90" i="20"/>
  <c r="V147" i="20"/>
  <c r="P59" i="20"/>
  <c r="I50" i="20"/>
  <c r="W75" i="20" l="1"/>
  <c r="W76" i="20" s="1"/>
  <c r="W77" i="20" s="1"/>
  <c r="W78" i="20" s="1"/>
  <c r="Z74" i="20"/>
  <c r="Y63" i="20" s="1"/>
  <c r="AI78" i="20"/>
  <c r="AI79" i="20" s="1"/>
  <c r="AN76" i="20"/>
  <c r="AN77" i="20" s="1"/>
  <c r="AN78" i="20" s="1"/>
  <c r="AN79" i="20" s="1"/>
  <c r="AB8" i="20"/>
  <c r="F13" i="24"/>
  <c r="C44" i="24" s="1"/>
  <c r="C16" i="24" s="1"/>
  <c r="F43" i="24" s="1"/>
  <c r="F36" i="24"/>
  <c r="E64" i="23"/>
  <c r="G67" i="23"/>
  <c r="AQ74" i="20"/>
  <c r="AA134" i="20"/>
  <c r="BG15" i="20" s="1"/>
  <c r="F10" i="24"/>
  <c r="C41" i="24" s="1"/>
  <c r="C13" i="24" s="1"/>
  <c r="F40" i="24" s="1"/>
  <c r="AX62" i="20"/>
  <c r="AB134" i="20"/>
  <c r="BT94" i="20"/>
  <c r="BG16" i="20"/>
  <c r="K53" i="20"/>
  <c r="BE80" i="20"/>
  <c r="BE81" i="20" s="1"/>
  <c r="BT20" i="20" s="1"/>
  <c r="AI63" i="20"/>
  <c r="BW105" i="20"/>
  <c r="AZ74" i="20"/>
  <c r="AL90" i="20"/>
  <c r="Q11" i="20" a="1"/>
  <c r="AZ75" i="20" a="1"/>
  <c r="Q11" i="20" l="1"/>
  <c r="Q10" i="20"/>
  <c r="Z16" i="20" s="1"/>
  <c r="AZ75" i="20"/>
  <c r="AL47" i="20" s="1"/>
  <c r="AL49" i="20" s="1"/>
  <c r="AJ69" i="20"/>
  <c r="AP64" i="20"/>
  <c r="AM71" i="20" s="1"/>
  <c r="V70" i="20"/>
  <c r="V71" i="20" s="1"/>
  <c r="AI65" i="20"/>
  <c r="AG95" i="20"/>
  <c r="AG96" i="20" s="1"/>
  <c r="V146" i="20"/>
  <c r="V148" i="20" s="1"/>
  <c r="Q9" i="20" l="1"/>
  <c r="E21" i="25"/>
  <c r="AG83" i="20"/>
  <c r="AF88" i="20" s="1"/>
  <c r="AF87" i="20" s="1"/>
  <c r="Q12" i="20" a="1"/>
  <c r="AF86" i="20" a="1"/>
  <c r="AF86" i="20" l="1"/>
  <c r="Q12" i="20"/>
  <c r="E22" i="25"/>
  <c r="H21" i="25"/>
  <c r="I21" i="25"/>
  <c r="AM72" i="20"/>
  <c r="AP65" i="20"/>
  <c r="AJ60" i="20"/>
  <c r="Y64" i="20"/>
  <c r="BT19" i="20"/>
  <c r="V67" i="20"/>
  <c r="E53" i="20" s="1"/>
  <c r="AK36" i="20"/>
  <c r="O47" i="20"/>
  <c r="Q6" i="20" a="1"/>
  <c r="Q6" i="20" l="1"/>
  <c r="H22" i="25"/>
  <c r="I22" i="25"/>
  <c r="AM68" i="20"/>
  <c r="AM69" i="20" s="1"/>
  <c r="BT18" i="20"/>
  <c r="V68" i="20"/>
  <c r="AK38" i="20"/>
  <c r="AK26" i="20" l="1"/>
  <c r="E52" i="20"/>
  <c r="E54" i="20" s="1"/>
  <c r="E60" i="20" s="1"/>
  <c r="E64" i="20" s="1"/>
  <c r="E10" i="25" l="1"/>
  <c r="E63" i="20"/>
  <c r="E55" i="20"/>
  <c r="S106" i="20"/>
  <c r="T115" i="20"/>
  <c r="E11" i="25" l="1"/>
  <c r="M5" i="25"/>
  <c r="N5" i="25" s="1"/>
  <c r="S5" i="25" s="1"/>
  <c r="I77" i="20"/>
  <c r="E27" i="25" s="1"/>
  <c r="BG12" i="20"/>
  <c r="BK32" i="20" s="1"/>
  <c r="E61" i="20"/>
  <c r="T5" i="25" l="1"/>
  <c r="U5" i="25"/>
  <c r="BO248" i="20"/>
  <c r="BO252" i="20" a="1"/>
  <c r="BO253" i="20" a="1"/>
  <c r="BO253" i="20" l="1"/>
  <c r="BO252" i="20"/>
  <c r="BJ256" i="20"/>
  <c r="BJ257" i="20" a="1"/>
  <c r="BO270" i="20" a="1"/>
  <c r="BO270" i="20" l="1"/>
  <c r="BO269" i="20" s="1"/>
  <c r="BJ257" i="20"/>
  <c r="BW270" i="20" l="1"/>
  <c r="BO265" i="20" a="1"/>
  <c r="BO272" i="20" a="1"/>
  <c r="BO272" i="20" l="1"/>
  <c r="BO265" i="20"/>
  <c r="BS292" i="20" s="1"/>
  <c r="BY290" i="20" s="1"/>
  <c r="BS100" i="20"/>
  <c r="BI150" i="20"/>
  <c r="BS238" i="20"/>
  <c r="BL245" i="20"/>
  <c r="BI155" i="20" a="1"/>
  <c r="BL247" i="20" a="1"/>
  <c r="BS101" i="20" a="1"/>
  <c r="BS239" i="20" a="1"/>
  <c r="BW273" i="20" a="1"/>
  <c r="BW266" i="20" a="1"/>
  <c r="BI154" i="20" a="1"/>
  <c r="BS239" i="20" l="1"/>
  <c r="BS101" i="20"/>
  <c r="BL247" i="20"/>
  <c r="BI154" i="20"/>
  <c r="BI155" i="20"/>
  <c r="BW266" i="20"/>
  <c r="BW273" i="20"/>
  <c r="BO137" i="20"/>
  <c r="BO133" i="20" a="1"/>
  <c r="BY291" i="20" a="1"/>
  <c r="BO174" i="20" a="1"/>
  <c r="BO174" i="20" l="1"/>
  <c r="BO173" i="20" s="1"/>
  <c r="BR166" i="20" s="1"/>
  <c r="BO133" i="20"/>
  <c r="BW104" i="20" s="1"/>
  <c r="BY291" i="20"/>
  <c r="BO176" i="20" a="1"/>
  <c r="BO169" i="20" a="1"/>
  <c r="H106" i="20" l="1"/>
  <c r="BE203" i="20"/>
  <c r="BK191" i="20" s="1"/>
  <c r="BO176" i="20"/>
  <c r="BO169" i="20"/>
  <c r="AF135" i="20" s="1"/>
  <c r="BW109" i="20" a="1"/>
  <c r="BW108" i="20" a="1"/>
  <c r="BK194" i="20" a="1"/>
  <c r="BK196" i="20" a="1"/>
  <c r="BK196" i="20" l="1"/>
  <c r="BW108" i="20"/>
  <c r="BW109" i="20"/>
  <c r="BK194" i="20"/>
  <c r="BP193" i="20" a="1"/>
  <c r="BW133" i="20" a="1"/>
  <c r="BW133" i="20" l="1"/>
  <c r="BW132" i="20" s="1"/>
  <c r="BP193" i="20"/>
  <c r="BP194" i="20" s="1"/>
  <c r="BP191" i="20" a="1"/>
  <c r="BP191" i="20" l="1"/>
  <c r="BR134" i="20"/>
  <c r="BT131" i="20"/>
  <c r="O117" i="20"/>
  <c r="BE204" i="20" s="1"/>
  <c r="BP196" i="20" a="1"/>
  <c r="BW128" i="20" a="1"/>
  <c r="BW128" i="20" l="1"/>
  <c r="BP196" i="20"/>
  <c r="BE205" i="20"/>
  <c r="BQ186" i="20"/>
  <c r="BE214" i="20"/>
  <c r="O118" i="20"/>
  <c r="BE213" i="20" a="1"/>
  <c r="BE213" i="20" l="1"/>
  <c r="J126" i="20"/>
  <c r="BX137" i="20"/>
  <c r="BE215" i="20"/>
  <c r="BK205" i="20" s="1"/>
  <c r="AA23" i="20" l="1"/>
  <c r="V33" i="20" a="1"/>
  <c r="V33" i="20" l="1"/>
  <c r="V32" i="20"/>
  <c r="D25" i="20" s="1"/>
  <c r="Z96" i="20"/>
  <c r="BI153" i="20" s="1"/>
  <c r="BO172" i="20" s="1"/>
  <c r="V31" i="20" l="1" a="1"/>
  <c r="V31" i="20" s="1"/>
  <c r="BP155" i="20"/>
  <c r="BX148" i="20" s="1"/>
  <c r="AF136" i="20"/>
  <c r="AL136" i="20" s="1"/>
  <c r="BO175" i="20"/>
  <c r="AF137" i="20" s="1"/>
  <c r="BG251" i="20"/>
  <c r="V29" i="20" a="1"/>
  <c r="AL135" i="20" a="1"/>
  <c r="V29" i="20" l="1"/>
  <c r="AL135" i="20"/>
  <c r="AI108" i="20"/>
  <c r="Z101" i="20" s="1"/>
  <c r="BV155" i="20"/>
  <c r="BL248" i="20"/>
  <c r="BO251" i="20"/>
  <c r="AL137" i="20"/>
  <c r="AJ129" i="20" s="1"/>
  <c r="AJ128" i="20" a="1"/>
  <c r="AJ108" i="20" l="1"/>
  <c r="AJ128" i="20"/>
  <c r="AI144" i="20"/>
  <c r="AJ130" i="20"/>
  <c r="BL249" i="20"/>
  <c r="BJ258" i="20"/>
  <c r="BJ259" i="20" s="1"/>
  <c r="BP257" i="20"/>
  <c r="BO268" i="20"/>
  <c r="AI143" i="20" a="1"/>
  <c r="AI143" i="20" l="1"/>
  <c r="BO271" i="20"/>
  <c r="BS294" i="20" s="1"/>
  <c r="BW245" i="20"/>
  <c r="BS293" i="20"/>
  <c r="BY293" i="20" s="1"/>
  <c r="AI145" i="20"/>
  <c r="AI134" i="20" s="1"/>
  <c r="BY292" i="20" a="1"/>
  <c r="BY292" i="20" l="1"/>
  <c r="BY294" i="20"/>
  <c r="BW286" i="20" s="1"/>
  <c r="BW248" i="20"/>
  <c r="CA258" i="20"/>
  <c r="CC254" i="20" s="1"/>
  <c r="BS240" i="20"/>
  <c r="BW269" i="20"/>
  <c r="BW272" i="20" s="1"/>
  <c r="BW285" i="20" a="1"/>
  <c r="BW285" i="20" l="1"/>
  <c r="BW287" i="20"/>
  <c r="BV301" i="20"/>
  <c r="BS254" i="20"/>
  <c r="BS255" i="20" s="1"/>
  <c r="BS241" i="20"/>
  <c r="BV300" i="20" a="1"/>
  <c r="BV300" i="20" l="1"/>
  <c r="BT244" i="20"/>
  <c r="BV302" i="20"/>
  <c r="BT287" i="20" s="1"/>
  <c r="BP119" i="20"/>
  <c r="H9" i="20"/>
  <c r="H10" i="20"/>
  <c r="BX10" i="20"/>
  <c r="BG13" i="20"/>
  <c r="BG14" i="20"/>
  <c r="H16" i="20"/>
  <c r="H17" i="20"/>
  <c r="BG17" i="20"/>
  <c r="D18" i="20"/>
  <c r="BK18" i="20"/>
  <c r="BV18" i="20"/>
  <c r="BX18" i="20"/>
  <c r="BZ18" i="20"/>
  <c r="D19" i="20"/>
  <c r="M19" i="20"/>
  <c r="BK19" i="20"/>
  <c r="BV19" i="20"/>
  <c r="BX19" i="20"/>
  <c r="BZ19" i="20"/>
  <c r="D20" i="20" a="1"/>
  <c r="D20" i="20"/>
  <c r="M20" i="20"/>
  <c r="BG20" i="20"/>
  <c r="BV20" i="20"/>
  <c r="BX20" i="20"/>
  <c r="BZ20" i="20"/>
  <c r="M21" i="20"/>
  <c r="AS21" i="20" a="1"/>
  <c r="AS21" i="20"/>
  <c r="BG21" i="20"/>
  <c r="BR21" i="20"/>
  <c r="BT21" i="20"/>
  <c r="BV21" i="20"/>
  <c r="BX21" i="20"/>
  <c r="BZ21" i="20"/>
  <c r="BG22" i="20"/>
  <c r="BJ22" i="20"/>
  <c r="AS23" i="20"/>
  <c r="D24" i="20"/>
  <c r="AS24" i="20"/>
  <c r="AS25" i="20"/>
  <c r="D26" i="20"/>
  <c r="L33" i="20"/>
  <c r="AC33" i="20"/>
  <c r="AV33" i="20"/>
  <c r="BA33" i="20"/>
  <c r="BK33" i="20" a="1"/>
  <c r="BK33" i="20"/>
  <c r="AV34" i="20"/>
  <c r="BK34" i="20"/>
  <c r="BK35" i="20"/>
  <c r="P36" i="20"/>
  <c r="BE36" i="20"/>
  <c r="BK36" i="20"/>
  <c r="F37" i="20"/>
  <c r="P37" i="20"/>
  <c r="V37" i="20"/>
  <c r="BE37" i="20"/>
  <c r="F38" i="20"/>
  <c r="V38" i="20"/>
  <c r="BK39" i="20"/>
  <c r="BK40" i="20"/>
  <c r="BK41" i="20"/>
  <c r="D42" i="20"/>
  <c r="BK42" i="20"/>
  <c r="D43" i="20"/>
  <c r="AF43" i="20"/>
  <c r="AP43" i="20"/>
  <c r="V44" i="20"/>
  <c r="AF44" i="20"/>
  <c r="AP44" i="20"/>
  <c r="AV44" i="20"/>
  <c r="V45" i="20"/>
  <c r="Y45" i="20"/>
  <c r="AV45" i="20"/>
  <c r="D46" i="20"/>
  <c r="Y46" i="20"/>
  <c r="AV46" i="20" a="1"/>
  <c r="AV46" i="20"/>
  <c r="D47" i="20"/>
  <c r="Y47" i="20" a="1"/>
  <c r="Y47" i="20"/>
  <c r="D48" i="20" a="1"/>
  <c r="D48" i="20"/>
  <c r="L48" i="20"/>
  <c r="L49" i="20"/>
  <c r="L50" i="20" a="1"/>
  <c r="L50" i="20"/>
  <c r="S50" i="20"/>
  <c r="AC50" i="20" a="1"/>
  <c r="AC50" i="20"/>
  <c r="S52" i="20"/>
  <c r="BE54" i="20" a="1"/>
  <c r="BE54" i="20"/>
  <c r="H55" i="20"/>
  <c r="H57" i="20"/>
  <c r="H63" i="20"/>
  <c r="AX63" i="20" a="1"/>
  <c r="AX63" i="20"/>
  <c r="N65" i="20"/>
  <c r="N66" i="20"/>
  <c r="E68" i="20"/>
  <c r="M70" i="20"/>
  <c r="E71" i="20"/>
  <c r="M72" i="20" a="1"/>
  <c r="M72" i="20"/>
  <c r="M73" i="20" a="1"/>
  <c r="M73" i="20"/>
  <c r="I74" i="20"/>
  <c r="I76" i="20"/>
  <c r="I78" i="20"/>
  <c r="I79" i="20"/>
  <c r="AX80" i="20"/>
  <c r="AX81" i="20"/>
  <c r="D82" i="20"/>
  <c r="N84" i="20"/>
  <c r="U87" i="20"/>
  <c r="AQ87" i="20"/>
  <c r="U88" i="20"/>
  <c r="AQ88" i="20"/>
  <c r="U89" i="20"/>
  <c r="AV90" i="20"/>
  <c r="P91" i="20"/>
  <c r="AV91" i="20"/>
  <c r="P92" i="20"/>
  <c r="P93" i="20"/>
  <c r="AO93" i="20" a="1"/>
  <c r="AO93" i="20"/>
  <c r="BT93" i="20"/>
  <c r="P94" i="20"/>
  <c r="AO95" i="20"/>
  <c r="Q101" i="20"/>
  <c r="BS102" i="20"/>
  <c r="BS103" i="20"/>
  <c r="BT106" i="20"/>
  <c r="H107" i="20"/>
  <c r="BW107" i="20"/>
  <c r="H108" i="20"/>
  <c r="O110" i="20"/>
  <c r="AO110" i="20"/>
  <c r="BW110" i="20"/>
  <c r="F111" i="20"/>
  <c r="O111" i="20"/>
  <c r="AO111" i="20"/>
  <c r="F112" i="20"/>
  <c r="AQ116" i="20"/>
  <c r="BS116" i="20"/>
  <c r="CC116" i="20"/>
  <c r="H117" i="20"/>
  <c r="AQ117" i="20"/>
  <c r="BS117" i="20"/>
  <c r="H118" i="20"/>
  <c r="CA119" i="20"/>
  <c r="AX120" i="20"/>
  <c r="AX121" i="20"/>
  <c r="P126" i="20"/>
  <c r="J127" i="20"/>
  <c r="P127" i="20"/>
  <c r="J128" i="20"/>
  <c r="BW131" i="20"/>
  <c r="BW134" i="20"/>
  <c r="J135" i="20" a="1"/>
  <c r="J135" i="20"/>
  <c r="J136" i="20"/>
  <c r="Z136" i="20"/>
  <c r="BO136" i="20"/>
  <c r="J137" i="20"/>
  <c r="J138" i="20"/>
  <c r="BO139" i="20"/>
  <c r="H142" i="20"/>
  <c r="H143" i="20"/>
  <c r="P145" i="20"/>
  <c r="J146" i="20"/>
  <c r="P146" i="20"/>
  <c r="J147" i="20" a="1"/>
  <c r="J147" i="20"/>
  <c r="J148" i="20"/>
  <c r="J149" i="20"/>
  <c r="AX152" i="20"/>
  <c r="D153" i="20"/>
  <c r="AX153" i="20"/>
  <c r="D155" i="20"/>
  <c r="Q162" i="20"/>
  <c r="AA167" i="20"/>
  <c r="AB167" i="20"/>
  <c r="AA171" i="20"/>
  <c r="AB171" i="20"/>
  <c r="BU186" i="20"/>
  <c r="BQ187" i="20"/>
  <c r="BK195" i="20"/>
  <c r="BP195" i="20"/>
  <c r="BU195" i="20"/>
  <c r="BU196" i="20"/>
  <c r="BK197" i="20"/>
  <c r="BP197" i="20"/>
  <c r="BT203" i="20"/>
  <c r="BW212" i="20"/>
  <c r="BW213" i="20"/>
  <c r="BS214" i="20" a="1"/>
  <c r="BS214" i="20"/>
  <c r="BK216" i="20" a="1"/>
  <c r="BK216" i="20"/>
  <c r="BS216" i="20"/>
  <c r="BS217" i="20"/>
  <c r="BP218" i="20"/>
  <c r="BS218" i="20"/>
  <c r="BK219" i="20"/>
  <c r="BK220" i="20"/>
  <c r="BK221" i="20"/>
  <c r="CA224" i="20"/>
  <c r="BV228" i="20"/>
  <c r="BV229" i="20"/>
  <c r="C8" i="24"/>
  <c r="F8" i="24"/>
  <c r="C11" i="24"/>
  <c r="F17" i="24"/>
  <c r="C20" i="24"/>
  <c r="F37" i="24"/>
  <c r="F38" i="24"/>
  <c r="C39" i="24"/>
  <c r="F47" i="24"/>
  <c r="C48" i="24"/>
  <c r="F49" i="24"/>
  <c r="E26" i="25"/>
  <c r="E28" i="25"/>
  <c r="E29" i="25"/>
  <c r="U30" i="23"/>
  <c r="U31" i="23"/>
  <c r="U32" i="23"/>
  <c r="U58" i="23"/>
  <c r="V58" i="23"/>
  <c r="D64" i="23"/>
  <c r="G64" i="23"/>
  <c r="D70" i="23"/>
  <c r="G70" i="23"/>
  <c r="D71" i="23"/>
  <c r="G71" i="23"/>
  <c r="J73" i="23"/>
  <c r="K73" i="23"/>
  <c r="D74" i="23"/>
  <c r="G74" i="23"/>
  <c r="J74" i="23"/>
  <c r="K7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tc={61868BF4-4721-4CF0-905F-754E8F002F77}</author>
    <author>tc={682FE19D-BAB3-4D29-957A-34123E1846E2}</author>
    <author>tc={E5E2B9A5-DCC8-46E5-8149-ABE4E00EB889}</author>
    <author>tc={594F952E-9047-4BF2-B3D2-8718C64B6043}</author>
    <author>tc={4E306A2B-CC61-4B3A-AC21-5C604A366551}</author>
    <author>tc={F47B2AF2-EF59-4CD6-8071-B047D0E5F13B}</author>
    <author>tc={737260E1-82FE-44AA-8B44-8C6D62D3DDDA}</author>
    <author>tc={59405F60-A7FE-4F22-957F-42564830370E}</author>
    <author>tc={49163FFC-2F41-43ED-957D-996CE87FC6AD}</author>
    <author>tc={BA4F8364-E9AB-482C-BD61-D2E0A965F7C7}</author>
    <author>tc={6E53367C-D66F-4A45-90F2-B9F1C382584D}</author>
    <author>tc={7E157A41-34B3-402E-BFA2-BBA07EB083DC}</author>
    <author>tc={9E8EDF4B-BCE5-4338-8AB4-92EAC6E01DCD}</author>
    <author>tc={9A14F3CC-286D-43D2-9447-5E11A87713F3}</author>
    <author>tc={5CB8E4E7-6613-4EA6-A631-FD95C4E482E2}</author>
    <author>tc={2C52663A-C87A-4355-8EF1-ACAB03203434}</author>
    <author>tc={2DC8C324-9707-4B9F-AC89-F07B1BF55CDA}</author>
    <author>tc={4859EF8D-E3F2-4B81-B854-C2B8A83FA43E}</author>
    <author>tc={ACE5B8EF-240C-4841-BB01-2FAD1C99CE0B}</author>
    <author>tc={462789ED-F61F-4140-A7F6-DF72B5EC2A59}</author>
    <author>tc={A3B51E27-3DBB-49F9-AF8E-3F57EC33FCE2}</author>
  </authors>
  <commentList>
    <comment ref="J7" authorId="0" shapeId="0" xr:uid="{61868BF4-4721-4CF0-905F-754E8F002F77}">
      <text>
        <t>[Threaded comment]
Your version of Excel allows you to read this threaded comment; however, any edits to it will get removed if the file is opened in a newer version of Excel. Learn more: https://go.microsoft.com/fwlink/?linkid=870924
Comment:
    Ends up in condensate separation tanks with MP steam after dryers but some is vented</t>
      </text>
    </comment>
    <comment ref="V7" authorId="1" shapeId="0" xr:uid="{682FE19D-BAB3-4D29-957A-34123E1846E2}">
      <text>
        <t>[Threaded comment]
Your version of Excel allows you to read this threaded comment; however, any edits to it will get removed if the file is opened in a newer version of Excel. Learn more: https://go.microsoft.com/fwlink/?linkid=870924
Comment:
    P&amp;C dhows drain</t>
      </text>
    </comment>
    <comment ref="V8" authorId="2" shapeId="0" xr:uid="{E5E2B9A5-DCC8-46E5-8149-ABE4E00EB889}">
      <text>
        <t>[Threaded comment]
Your version of Excel allows you to read this threaded comment; however, any edits to it will get removed if the file is opened in a newer version of Excel. Learn more: https://go.microsoft.com/fwlink/?linkid=870924
Comment:
    Goes to contaminated HW tanks</t>
      </text>
    </comment>
    <comment ref="P10" authorId="3" shapeId="0" xr:uid="{594F952E-9047-4BF2-B3D2-8718C64B6043}">
      <text>
        <t>[Threaded comment]
Your version of Excel allows you to read this threaded comment; however, any edits to it will get removed if the file is opened in a newer version of Excel. Learn more: https://go.microsoft.com/fwlink/?linkid=870924
Comment:
    Batch digestors are heated indirectly to reduce BL evaporator load</t>
      </text>
    </comment>
    <comment ref="T10" authorId="4" shapeId="0" xr:uid="{4E306A2B-CC61-4B3A-AC21-5C604A366551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measures line to steam vessel but shows a higher flow than FT0184 which should be higher as it includes LP to delig &amp; BP</t>
      </text>
    </comment>
    <comment ref="N14" authorId="5" shapeId="0" xr:uid="{F47B2AF2-EF59-4CD6-8071-B047D0E5F13B}">
      <text>
        <t>[Threaded comment]
Your version of Excel allows you to read this threaded comment; however, any edits to it will get removed if the file is opened in a newer version of Excel. Learn more: https://go.microsoft.com/fwlink/?linkid=870924
Comment:
    LP steam rarely used in standpipe</t>
      </text>
    </comment>
    <comment ref="O27" authorId="6" shapeId="0" xr:uid="{737260E1-82FE-44AA-8B44-8C6D62D3DDDA}">
      <text>
        <t>[Threaded comment]
Your version of Excel allows you to read this threaded comment; however, any edits to it will get removed if the file is opened in a newer version of Excel. Learn more: https://go.microsoft.com/fwlink/?linkid=870924
Comment:
    May be reading wrong since 745condAIR calculation is higher and even with 4RB air heaters</t>
      </text>
    </comment>
    <comment ref="P27" authorId="7" shapeId="0" xr:uid="{59405F60-A7FE-4F22-957F-42564830370E}">
      <text>
        <t>[Threaded comment]
Your version of Excel allows you to read this threaded comment; however, any edits to it will get removed if the file is opened in a newer version of Excel. Learn more: https://go.microsoft.com/fwlink/?linkid=870924
Comment:
    In 745-02-01-017 P&amp;C</t>
      </text>
    </comment>
    <comment ref="N28" authorId="8" shapeId="0" xr:uid="{49163FFC-2F41-43ED-957D-996CE87FC6AD}">
      <text>
        <t>[Threaded comment]
Your version of Excel allows you to read this threaded comment; however, any edits to it will get removed if the file is opened in a newer version of Excel. Learn more: https://go.microsoft.com/fwlink/?linkid=870924
Comment:
    P&amp;C says 450kPa steam but parcview shows 1250, see if it balances</t>
      </text>
    </comment>
    <comment ref="P28" authorId="9" shapeId="0" xr:uid="{BA4F8364-E9AB-482C-BD61-D2E0A965F7C7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</t>
      </text>
    </comment>
    <comment ref="E29" authorId="10" shapeId="0" xr:uid="{6E53367C-D66F-4A45-90F2-B9F1C382584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often gives negative values so can’t be trusted</t>
      </text>
    </comment>
    <comment ref="P30" authorId="11" shapeId="0" xr:uid="{7E157A41-34B3-402E-BFA2-BBA07EB083DC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</t>
      </text>
    </comment>
    <comment ref="O31" authorId="12" shapeId="0" xr:uid="{9E8EDF4B-BCE5-4338-8AB4-92EAC6E01DC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May always be 0
</t>
      </text>
    </comment>
    <comment ref="P31" authorId="13" shapeId="0" xr:uid="{9A14F3CC-286D-43D2-9447-5E11A87713F3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to 8PB DA</t>
      </text>
    </comment>
    <comment ref="W32" authorId="14" shapeId="0" xr:uid="{5CB8E4E7-6613-4EA6-A631-FD95C4E482E2}">
      <text>
        <t>[Threaded comment]
Your version of Excel allows you to read this threaded comment; however, any edits to it will get removed if the file is opened in a newer version of Excel. Learn more: https://go.microsoft.com/fwlink/?linkid=870924
Comment:
    Likely reading wrong</t>
      </text>
    </comment>
    <comment ref="V74" authorId="15" shapeId="0" xr:uid="{2C52663A-C87A-4355-8EF1-ACAB03203434}">
      <text>
        <t>[Threaded comment]
Your version of Excel allows you to read this threaded comment; however, any edits to it will get removed if the file is opened in a newer version of Excel. Learn more: https://go.microsoft.com/fwlink/?linkid=870924
Comment:
    MP steam
Reply:
    To No1 caustic but included under S&amp;R to save column space</t>
      </text>
    </comment>
    <comment ref="R78" authorId="16" shapeId="0" xr:uid="{2DC8C324-9707-4B9F-AC89-F07B1BF55CDA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LP header flow
Reply:
    To C&amp;K</t>
      </text>
    </comment>
    <comment ref="S78" authorId="17" shapeId="0" xr:uid="{4859EF8D-E3F2-4B81-B854-C2B8A83FA43E}">
      <text>
        <t>[Threaded comment]
Your version of Excel allows you to read this threaded comment; however, any edits to it will get removed if the file is opened in a newer version of Excel. Learn more: https://go.microsoft.com/fwlink/?linkid=870924
Comment:
    Waste gas system</t>
      </text>
    </comment>
    <comment ref="T78" authorId="18" shapeId="0" xr:uid="{ACE5B8EF-240C-4841-BB01-2FAD1C99CE0B}">
      <text>
        <t>[Threaded comment]
Your version of Excel allows you to read this threaded comment; however, any edits to it will get removed if the file is opened in a newer version of Excel. Learn more: https://go.microsoft.com/fwlink/?linkid=870924
Comment:
    LP to BLOX plant, should be S&amp;R</t>
      </text>
    </comment>
    <comment ref="Z78" authorId="19" shapeId="0" xr:uid="{462789ED-F61F-4140-A7F6-DF72B5EC2A59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LP header flow</t>
      </text>
    </comment>
    <comment ref="AD78" authorId="20" shapeId="0" xr:uid="{A3B51E27-3DBB-49F9-AF8E-3F57EC33FCE2}">
      <text>
        <t>[Threaded comment]
Your version of Excel allows you to read this threaded comment; however, any edits to it will get removed if the file is opened in a newer version of Excel. Learn more: https://go.microsoft.com/fwlink/?linkid=870924
Comment:
    Waste gas system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tc={388D20A5-125A-4A05-8790-B0EDF65BC8D4}</author>
    <author>tc={694BDAE1-BFA8-4BF1-BACB-BB53BA977A99}</author>
    <author>tc={6009941D-6BB8-4484-95AE-5CB70C64F49A}</author>
    <author>tc={4E199089-E25D-4260-AB6A-5D14E32EE69A}</author>
    <author>tc={CC179E78-C506-4F1A-A978-BDB36DFDFE8B}</author>
    <author>tc={96CDA333-5C91-45D1-B7CB-E3732EA92591}</author>
    <author>tc={72C02CB7-8716-4892-A565-1946F8D021EA}</author>
    <author>tc={86FAB2AF-7384-48AF-822C-9AE181643F3E}</author>
    <author>tc={61AC621A-68A6-4A77-8D8E-7726C7BA594C}</author>
    <author>tc={1287AD07-5AB8-40AA-96F8-54E279BE434A}</author>
    <author>tc={E8F66CBB-1C5A-4808-B887-CEAC75FCF7B7}</author>
    <author>tc={599479C4-059F-4FCD-8891-9858B28109D7}</author>
    <author>tc={3CCDD0EF-2496-4E7E-9870-6A47B0B3EF22}</author>
    <author>tc={645B0AB2-325C-430D-AA50-118F4E14DC95}</author>
    <author>tc={37E440C8-B827-4B04-950A-428BFC2DA563}</author>
    <author>tc={4B4CEFC6-FF62-4A02-8DEB-8A9F3DE91540}</author>
    <author>tc={348FE32C-8256-4A3D-BEE5-95A364CBDE19}</author>
    <author>tc={3DD17A11-5BF7-4D8F-84A2-DA5EBBDA0DAB}</author>
    <author>tc={2D08E83C-CC3E-4A87-8841-1FA4B4E780D1}</author>
    <author>tc={97663A05-FEA4-445F-891C-6AC04954B8FC}</author>
    <author>tc={1259C5AE-64EE-4DE6-9919-C512E017E385}</author>
    <author>tc={576E9498-2E07-4F7A-946B-30CD708C57F7}</author>
    <author>tc={A8323D6B-62CE-4C12-B624-B1FF3D5E0368}</author>
    <author>tc={9D4C47C5-D8CF-4F03-B599-9D8B00A06A5C}</author>
    <author>tc={2E33E5B3-4DD3-4760-8721-4B62B1A7DC36}</author>
    <author>tc={D860BC3B-3E58-4206-A4C8-F46E28BAACF8}</author>
    <author>tc={BEDA5260-F1D0-495C-8A15-42E47D2B4020}</author>
    <author>tc={EBF0C263-FDA1-4D1C-B64C-845F8157FDBB}</author>
    <author>tc={DE97BB0E-D287-41B3-9510-871C310AA4E5}</author>
    <author>tc={85A14DA4-4811-465E-994F-37426CA1F918}</author>
    <author>tc={9C1BBB54-ADEE-45BE-8EFF-14B715B69EF3}</author>
    <author>tc={EBA52C3F-1D1C-4012-B530-FA3D4CC17EB3}</author>
    <author>tc={08A19C49-0B69-4A42-9BBD-73F0A3E9B3E4}</author>
    <author>tc={A396C197-03F4-43C3-B4E0-888D74C88A39}</author>
    <author>tc={4ED76535-9912-49B9-AB00-684EEA60D065}</author>
    <author>tc={ECEE722E-C453-4BFB-9A8C-1BB23D9D64A2}</author>
    <author>tc={428A1927-DFD3-41E3-A81E-615BB6A3B11A}</author>
    <author>tc={37EAFC0F-2217-4B15-A2C4-86D1ABA4CD35}</author>
    <author>tc={739A3DAE-909E-433B-8056-44670D1F7B46}</author>
    <author>tc={9EC5C227-8323-4224-B61C-5349EA41C9B6}</author>
    <author>tc={E0D21D07-FF85-4A4B-B859-4EB22FD2BB36}</author>
    <author>tc={77E395FA-1462-4F9A-B827-84F8DD08AB5B}</author>
    <author>tc={C9153944-7BD1-4FC5-A8EC-55C02160159F}</author>
    <author>tc={F09EF1A3-7098-4EC0-8984-0F9A5D87D686}</author>
    <author>tc={84D4CAB9-B70E-47F5-936B-77ACA081652A}</author>
  </authors>
  <commentList>
    <comment ref="BG6" authorId="0" shapeId="0" xr:uid="{388D20A5-125A-4A05-8790-B0EDF65BC8D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</t>
      </text>
    </comment>
    <comment ref="BG8" authorId="1" shapeId="0" xr:uid="{694BDAE1-BFA8-4BF1-BACB-BB53BA977A99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Brown, due to pumping costs</t>
      </text>
    </comment>
    <comment ref="AB9" authorId="2" shapeId="0" xr:uid="{6009941D-6BB8-4484-95AE-5CB70C64F49A}">
      <text>
        <t>[Threaded comment]
Your version of Excel allows you to read this threaded comment; however, any edits to it will get removed if the file is opened in a newer version of Excel. Learn more: https://go.microsoft.com/fwlink/?linkid=870924
Comment:
    718TT0110</t>
      </text>
    </comment>
    <comment ref="BG9" authorId="3" shapeId="0" xr:uid="{4E199089-E25D-4260-AB6A-5D14E32EE69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Brown, due to pumping costs</t>
      </text>
    </comment>
    <comment ref="BG10" authorId="4" shapeId="0" xr:uid="{CC179E78-C506-4F1A-A978-BDB36DFDFE8B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</t>
      </text>
    </comment>
    <comment ref="AF12" authorId="5" shapeId="0" xr:uid="{96CDA333-5C91-45D1-B7CB-E3732EA9259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Combined condensate temp from PM6 &amp; 2PD measured after condensate flash vessel by 718TE0135</t>
      </text>
    </comment>
    <comment ref="AS21" authorId="6" shapeId="0" xr:uid="{72C02CB7-8716-4892-A565-1946F8D021E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heated from 4RB blowdown flash &amp; condensate collection tank 1 vapour
Reply:
    Also measured</t>
      </text>
    </comment>
    <comment ref="AM26" authorId="7" shapeId="0" xr:uid="{86FAB2AF-7384-48AF-822C-9AE181643F3E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heated from 4RB blowdown flash &amp; condensate collection tank 1 vapour</t>
      </text>
    </comment>
    <comment ref="P36" authorId="8" shapeId="0" xr:uid="{61AC621A-68A6-4A77-8D8E-7726C7BA594C}">
      <text>
        <t>[Threaded comment]
Your version of Excel allows you to read this threaded comment; however, any edits to it will get removed if the file is opened in a newer version of Excel. Learn more: https://go.microsoft.com/fwlink/?linkid=870924
Comment:
    Pretty sure that flowmeter is reading wrong, needs way more steam even if condensate returns at saturation. This is likely where some unaccounted for steam is going - flowmeter reads before blowdown flash is added but still not enough</t>
      </text>
    </comment>
    <comment ref="AP43" authorId="9" shapeId="0" xr:uid="{1287AD07-5AB8-40AA-96F8-54E279BE434A}">
      <text>
        <t>[Threaded comment]
Your version of Excel allows you to read this threaded comment; however, any edits to it will get removed if the file is opened in a newer version of Excel. Learn more: https://go.microsoft.com/fwlink/?linkid=870924
Comment:
    Most comes from cond tank 2, some comes from cond tank1 but  is mixed in same line and combined flow measured just before DA by FT156 (L/min) which is what parcview shows</t>
      </text>
    </comment>
    <comment ref="O46" authorId="10" shapeId="0" xr:uid="{E8F66CBB-1C5A-4808-B887-CEAC75FCF7B7}">
      <text>
        <t>[Threaded comment]
Your version of Excel allows you to read this threaded comment; however, any edits to it will get removed if the file is opened in a newer version of Excel. Learn more: https://go.microsoft.com/fwlink/?linkid=870924
Comment:
    Linking with dynamic model causes unsolvable look: '=IFERROR(F111+H142+U105+AS84+AO110,20)</t>
      </text>
    </comment>
    <comment ref="AC48" authorId="11" shapeId="0" xr:uid="{599479C4-059F-4FCD-8891-9858B28109D7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</t>
      </text>
    </comment>
    <comment ref="I49" authorId="12" shapeId="0" xr:uid="{3CCDD0EF-2496-4E7E-9870-6A47B0B3EF22}">
      <text>
        <t>[Threaded comment]
Your version of Excel allows you to read this threaded comment; however, any edits to it will get removed if the file is opened in a newer version of Excel. Learn more: https://go.microsoft.com/fwlink/?linkid=870924
Comment:
    114FT0324</t>
      </text>
    </comment>
    <comment ref="BE52" authorId="13" shapeId="0" xr:uid="{645B0AB2-325C-430D-AA50-118F4E14DC95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in, may need to check P&amp;C to see if water is going somewhere</t>
      </text>
    </comment>
    <comment ref="X53" authorId="14" shapeId="0" xr:uid="{37E440C8-B827-4B04-950A-428BFC2DA563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Extracted from filtering data between these rates</t>
      </text>
    </comment>
    <comment ref="AO53" authorId="15" shapeId="0" xr:uid="{4B4CEFC6-FF62-4A02-8DEB-8A9F3DE9154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Extracted from filtering data between these rates</t>
      </text>
    </comment>
    <comment ref="V58" authorId="16" shapeId="0" xr:uid="{348FE32C-8256-4A3D-BEE5-95A364CBDE19}">
      <text>
        <t>[Threaded comment]
Your version of Excel allows you to read this threaded comment; however, any edits to it will get removed if the file is opened in a newer version of Excel. Learn more: https://go.microsoft.com/fwlink/?linkid=870924
Comment:
    Is preheated within boiler</t>
      </text>
    </comment>
    <comment ref="AM59" authorId="17" shapeId="0" xr:uid="{3DD17A11-5BF7-4D8F-84A2-DA5EBBDA0DAB}">
      <text>
        <t>[Threaded comment]
Your version of Excel allows you to read this threaded comment; however, any edits to it will get removed if the file is opened in a newer version of Excel. Learn more: https://go.microsoft.com/fwlink/?linkid=870924
Comment:
    Is preheated within boiler</t>
      </text>
    </comment>
    <comment ref="E60" authorId="18" shapeId="0" xr:uid="{2D08E83C-CC3E-4A87-8841-1FA4B4E780D1}">
      <text>
        <t>[Threaded comment]
Your version of Excel allows you to read this threaded comment; however, any edits to it will get removed if the file is opened in a newer version of Excel. Learn more: https://go.microsoft.com/fwlink/?linkid=870924
Comment:
    128FY0902A</t>
      </text>
    </comment>
    <comment ref="AX61" authorId="19" shapeId="0" xr:uid="{97663A05-FEA4-445F-891C-6AC04954B8FC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</t>
      </text>
    </comment>
    <comment ref="V62" authorId="20" shapeId="0" xr:uid="{1259C5AE-64EE-4DE6-9919-C512E017E38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utility model but unsure if kg dry or wet as dry results in low energy compared to data</t>
      </text>
    </comment>
    <comment ref="AM63" authorId="21" shapeId="0" xr:uid="{576E9498-2E07-4F7A-946B-30CD708C57F7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utility model but unsure if kg dry or wet as dry results in low energy compared to data</t>
      </text>
    </comment>
    <comment ref="N65" authorId="22" shapeId="0" xr:uid="{A8323D6B-62CE-4C12-B624-B1FF3D5E03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measured by 128FC0406 after desup &amp; spray water is split  </t>
      </text>
    </comment>
    <comment ref="L69" authorId="23" shapeId="0" xr:uid="{9D4C47C5-D8CF-4F03-B599-9D8B00A06A5C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8PB DA</t>
      </text>
    </comment>
    <comment ref="AC69" authorId="24" shapeId="0" xr:uid="{2E33E5B3-4DD3-4760-8721-4B62B1A7DC36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LP header, liquid indirect HX demin water to tank 2</t>
      </text>
    </comment>
    <comment ref="AT69" authorId="25" shapeId="0" xr:uid="{D860BC3B-3E58-4206-A4C8-F46E28BAACF8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demin contact heater then to demin to tank 1</t>
      </text>
    </comment>
    <comment ref="E70" authorId="26" shapeId="0" xr:uid="{BEDA5260-F1D0-495C-8A15-42E47D2B402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spreadsheet</t>
      </text>
    </comment>
    <comment ref="AD72" authorId="27" shapeId="0" xr:uid="{EBF0C263-FDA1-4D1C-B64C-845F8157FDBB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AU72" authorId="28" shapeId="0" xr:uid="{DE97BB0E-D287-41B3-9510-871C310AA4E5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BE77" authorId="29" shapeId="0" xr:uid="{85A14DA4-4811-465E-994F-37426CA1F918}">
      <text>
        <t>[Threaded comment]
Your version of Excel allows you to read this threaded comment; however, any edits to it will get removed if the file is opened in a newer version of Excel. Learn more: https://go.microsoft.com/fwlink/?linkid=870924
Comment:
    Suspect pressure gauge 127PT0151 not calibrated right since reading suggests not enough gas mass flow to achieve the outlet steam conditions</t>
      </text>
    </comment>
    <comment ref="Y78" authorId="30" shapeId="0" xr:uid="{9C1BBB54-ADEE-45BE-8EFF-14B715B69EF3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Measured by 745FI1690 (after sootblowers)</t>
      </text>
    </comment>
    <comment ref="AP78" authorId="31" shapeId="0" xr:uid="{EBA52C3F-1D1C-4012-B530-FA3D4CC17EB3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Measured by 744FY0032 (after sootblowers)</t>
      </text>
    </comment>
    <comment ref="BL82" authorId="32" shapeId="0" xr:uid="{08A19C49-0B69-4A42-9BBD-73F0A3E9B3E4}">
      <text>
        <t>[Threaded comment]
Your version of Excel allows you to read this threaded comment; however, any edits to it will get removed if the file is opened in a newer version of Excel. Learn more: https://go.microsoft.com/fwlink/?linkid=870924
Comment:
    Goes to 4RB blowdown flash tank</t>
      </text>
    </comment>
    <comment ref="BM85" authorId="33" shapeId="0" xr:uid="{A396C197-03F4-43C3-B4E0-888D74C88A39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AT86" authorId="34" shapeId="0" xr:uid="{4ED76535-9912-49B9-AB00-684EEA60D06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Appears to always be open despite 7PB mostly producing more IPS than PM6 needs. 1016V barely ever used. </t>
      </text>
    </comment>
    <comment ref="AL88" authorId="35" shapeId="0" xr:uid="{ECEE722E-C453-4BFB-9A8C-1BB23D9D64A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P&amp;C's</t>
      </text>
    </comment>
    <comment ref="BL91" authorId="36" shapeId="0" xr:uid="{428A1927-DFD3-41E3-A81E-615BB6A3B11A}">
      <text>
        <t>[Threaded comment]
Your version of Excel allows you to read this threaded comment; however, any edits to it will get removed if the file is opened in a newer version of Excel. Learn more: https://go.microsoft.com/fwlink/?linkid=870924
Comment:
    127F006</t>
      </text>
    </comment>
    <comment ref="BL124" authorId="37" shapeId="0" xr:uid="{37EAFC0F-2217-4B15-A2C4-86D1ABA4CD35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  <comment ref="J127" authorId="38" shapeId="0" xr:uid="{739A3DAE-909E-433B-8056-44670D1F7B46}">
      <text>
        <t>[Threaded comment]
Your version of Excel allows you to read this threaded comment; however, any edits to it will get removed if the file is opened in a newer version of Excel. Learn more: https://go.microsoft.com/fwlink/?linkid=870924
Comment:
    Appears the turbine exhaust is held constant at 150 t/hr and MP exhaust is used to handle variation</t>
      </text>
    </comment>
    <comment ref="BL160" authorId="39" shapeId="0" xr:uid="{9EC5C227-8323-4224-B61C-5349EA41C9B6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  <comment ref="BK191" authorId="40" shapeId="0" xr:uid="{E0D21D07-FF85-4A4B-B859-4EB22FD2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want a driving force of 10 degrees minimum between flash liquid in and organic out</t>
      </text>
    </comment>
    <comment ref="BT203" authorId="41" shapeId="0" xr:uid="{77E395FA-1462-4F9A-B827-84F8DD08AB5B}">
      <text>
        <t>[Threaded comment]
Your version of Excel allows you to read this threaded comment; however, any edits to it will get removed if the file is opened in a newer version of Excel. Learn more: https://go.microsoft.com/fwlink/?linkid=870924
Comment:
    aim for a 10 degree difference between cooling fluid in and hot fluid out</t>
      </text>
    </comment>
    <comment ref="BK217" authorId="42" shapeId="0" xr:uid="{C9153944-7BD1-4FC5-A8EC-55C02160159F}">
      <text>
        <t>[Threaded comment]
Your version of Excel allows you to read this threaded comment; however, any edits to it will get removed if the file is opened in a newer version of Excel. Learn more: https://go.microsoft.com/fwlink/?linkid=870924
Comment:
    want a +5 degree superheat after evapourator and 10 degree difference between flash liquid hence the saturation temp bust be 15 degrees lower than the flash liquid</t>
      </text>
    </comment>
    <comment ref="BV225" authorId="43" shapeId="0" xr:uid="{F09EF1A3-7098-4EC0-8984-0F9A5D87D686}">
      <text>
        <t>[Threaded comment]
Your version of Excel allows you to read this threaded comment; however, any edits to it will get removed if the file is opened in a newer version of Excel. Learn more: https://go.microsoft.com/fwlink/?linkid=870924
Comment:
    +5 degrees from cooling water inlet</t>
      </text>
    </comment>
    <comment ref="BL262" authorId="44" shapeId="0" xr:uid="{84D4CAB9-B70E-47F5-936B-77ACA081652A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<sst xmlns="http://schemas.openxmlformats.org/spreadsheetml/2006/main" count="1641" uniqueCount="752">
  <si>
    <t>Key</t>
  </si>
  <si>
    <t>Condensate tank 1 feed</t>
  </si>
  <si>
    <t>User inputs</t>
  </si>
  <si>
    <t>Summary</t>
  </si>
  <si>
    <t>T (oC)</t>
  </si>
  <si>
    <t>Gas costs ($/GJ)</t>
  </si>
  <si>
    <t>P return (bar)</t>
  </si>
  <si>
    <t>From No4 evaps</t>
  </si>
  <si>
    <t>From No2 mill</t>
  </si>
  <si>
    <t>Grid price ($/MWh)</t>
  </si>
  <si>
    <t>Untrusted data</t>
  </si>
  <si>
    <t>Demin to No2 tank</t>
  </si>
  <si>
    <t>P tank (bar)</t>
  </si>
  <si>
    <t>m (t/hr)</t>
  </si>
  <si>
    <t>Makeup water ($/ML)</t>
  </si>
  <si>
    <t>Water unit conversion</t>
  </si>
  <si>
    <t>Calculation</t>
  </si>
  <si>
    <t>h (kJk/g)</t>
  </si>
  <si>
    <t>5RB</t>
  </si>
  <si>
    <t>Makeup water ($/t)</t>
  </si>
  <si>
    <t>$</t>
  </si>
  <si>
    <t>1000 L</t>
  </si>
  <si>
    <t>1 Mm3</t>
  </si>
  <si>
    <t>m3</t>
  </si>
  <si>
    <t>1000 kg</t>
  </si>
  <si>
    <t>Water cost</t>
  </si>
  <si>
    <t>$/t</t>
  </si>
  <si>
    <t>Q (MW)</t>
  </si>
  <si>
    <t>m in (t/hr)</t>
  </si>
  <si>
    <t>8PB</t>
  </si>
  <si>
    <t>Wood waste cost ($/t wet)</t>
  </si>
  <si>
    <t>ML</t>
  </si>
  <si>
    <t>1 m3</t>
  </si>
  <si>
    <t>1e6 m3</t>
  </si>
  <si>
    <t>t</t>
  </si>
  <si>
    <t>Demin ave</t>
  </si>
  <si>
    <t>$/hr</t>
  </si>
  <si>
    <t>Q  (MW)</t>
  </si>
  <si>
    <t>Measured but untrusted and not used</t>
  </si>
  <si>
    <t>Quality</t>
  </si>
  <si>
    <t>Boiler</t>
  </si>
  <si>
    <t>Gas usage (GJ/hr)</t>
  </si>
  <si>
    <t>4RB</t>
  </si>
  <si>
    <t>Boiler steam (t/hr)</t>
  </si>
  <si>
    <t>From demin preheater</t>
  </si>
  <si>
    <t>From 5RB air heater</t>
  </si>
  <si>
    <t>From PM6</t>
  </si>
  <si>
    <t>HP steam (t/hr)</t>
  </si>
  <si>
    <t>7PB</t>
  </si>
  <si>
    <t>MP steam out (t/hr)</t>
  </si>
  <si>
    <t>P (bar)</t>
  </si>
  <si>
    <t>T proportion</t>
  </si>
  <si>
    <t>IP steam out (t/hr)</t>
  </si>
  <si>
    <t>LP steam out (t/hr)</t>
  </si>
  <si>
    <t>Steam (t/hr)</t>
  </si>
  <si>
    <t>Fuel costs ($/hr)</t>
  </si>
  <si>
    <t>Water costs ($/hr)</t>
  </si>
  <si>
    <t>Total costs ($/hr)</t>
  </si>
  <si>
    <t>Boiler steam cost ($/t)</t>
  </si>
  <si>
    <t>Condensate splits</t>
  </si>
  <si>
    <t>From No1 mill</t>
  </si>
  <si>
    <t>From PD2</t>
  </si>
  <si>
    <t>Tdemin (oC)</t>
  </si>
  <si>
    <t>Pump elec</t>
  </si>
  <si>
    <t>8PB split</t>
  </si>
  <si>
    <t>Demin makeup</t>
  </si>
  <si>
    <t>V (L/min)</t>
  </si>
  <si>
    <t>5RB split</t>
  </si>
  <si>
    <t>Demin tank 1</t>
  </si>
  <si>
    <t>Tcondensate (oC)</t>
  </si>
  <si>
    <t>optional</t>
  </si>
  <si>
    <t>Process steam (t/hr)</t>
  </si>
  <si>
    <t>2PG split</t>
  </si>
  <si>
    <t xml:space="preserve"> </t>
  </si>
  <si>
    <t>Elec generation (MW)</t>
  </si>
  <si>
    <t>From No5 evaps</t>
  </si>
  <si>
    <t>Pump work (MW)</t>
  </si>
  <si>
    <t>$/GJ-wood waste</t>
  </si>
  <si>
    <t>Wood waste (net GJ/t-dry)</t>
  </si>
  <si>
    <t>DA water needed</t>
  </si>
  <si>
    <t>Ave duty</t>
  </si>
  <si>
    <t>Wood waste ($/t steam)</t>
  </si>
  <si>
    <t>Condensate return</t>
  </si>
  <si>
    <t>Demin needed</t>
  </si>
  <si>
    <t>MW</t>
  </si>
  <si>
    <t>Demin contact heater</t>
  </si>
  <si>
    <t>Condensate tank 2</t>
  </si>
  <si>
    <t>P out (bar)</t>
  </si>
  <si>
    <t>Vent air</t>
  </si>
  <si>
    <t>8PB DA live steam</t>
  </si>
  <si>
    <t>From demin tank 1</t>
  </si>
  <si>
    <t>2PG DA live steam</t>
  </si>
  <si>
    <t>Gas cost ($/hr)</t>
  </si>
  <si>
    <t>Demin cost ($/hr)</t>
  </si>
  <si>
    <t>Ratio</t>
  </si>
  <si>
    <t>Wood waste cost ($/hr)</t>
  </si>
  <si>
    <t>8PB DA</t>
  </si>
  <si>
    <t>5RB DA</t>
  </si>
  <si>
    <t>Cond tank 1 flash</t>
  </si>
  <si>
    <t>2PG DA</t>
  </si>
  <si>
    <t>h (kJ/g)</t>
  </si>
  <si>
    <t>Condensate to 8PB</t>
  </si>
  <si>
    <t>Condensate to 5RB</t>
  </si>
  <si>
    <t>Elec generation ($/hr)</t>
  </si>
  <si>
    <t>Total steam cost ($/t)</t>
  </si>
  <si>
    <t>5RB DA live steam</t>
  </si>
  <si>
    <t>HP header cost ($/t)</t>
  </si>
  <si>
    <t>MP header cost ($/t)</t>
  </si>
  <si>
    <t>From demin tank 2</t>
  </si>
  <si>
    <t>IP header cost ($/t)</t>
  </si>
  <si>
    <t>Condensate to 2PG</t>
  </si>
  <si>
    <t>LP header cost ($/t)</t>
  </si>
  <si>
    <t>Mixed water feed</t>
  </si>
  <si>
    <t>8PB DA exit</t>
  </si>
  <si>
    <t>5RB BFW</t>
  </si>
  <si>
    <t>hmix</t>
  </si>
  <si>
    <t>HP feed heater cond</t>
  </si>
  <si>
    <t>Desup water</t>
  </si>
  <si>
    <t>mmix</t>
  </si>
  <si>
    <t>4RB blowdown vap</t>
  </si>
  <si>
    <t>Tmix</t>
  </si>
  <si>
    <t>hv</t>
  </si>
  <si>
    <t>8PB blowdown vap</t>
  </si>
  <si>
    <t>Qv (MW)</t>
  </si>
  <si>
    <t>Split</t>
  </si>
  <si>
    <t>7PB BFW</t>
  </si>
  <si>
    <t>Wp (MW)</t>
  </si>
  <si>
    <t>HP feed heater</t>
  </si>
  <si>
    <t>Attemperator spray</t>
  </si>
  <si>
    <t>HP feed heater steam</t>
  </si>
  <si>
    <t>Ratio (%)</t>
  </si>
  <si>
    <t>Black liqour</t>
  </si>
  <si>
    <t>4RB BFW</t>
  </si>
  <si>
    <t>Gas</t>
  </si>
  <si>
    <t>8 primary</t>
  </si>
  <si>
    <t>5 recovery</t>
  </si>
  <si>
    <t>4 recovery</t>
  </si>
  <si>
    <t>V (Nm3/hr)</t>
  </si>
  <si>
    <t xml:space="preserve">8PB BFW </t>
  </si>
  <si>
    <t>NHV (MJ/sm3)</t>
  </si>
  <si>
    <t>Solids</t>
  </si>
  <si>
    <t>Blowdown flash to LP header</t>
  </si>
  <si>
    <t>NHV (MJ/kg)</t>
  </si>
  <si>
    <t>Q (GJ/hr)</t>
  </si>
  <si>
    <t>Wood waste</t>
  </si>
  <si>
    <t>MC (%)</t>
  </si>
  <si>
    <t>Boiler steam</t>
  </si>
  <si>
    <t>Blowdown</t>
  </si>
  <si>
    <t>Tsat (oC)</t>
  </si>
  <si>
    <t>Blowdown flash tank</t>
  </si>
  <si>
    <t>7 primary</t>
  </si>
  <si>
    <t>h (kJ/kg)</t>
  </si>
  <si>
    <t>Qb (MW)</t>
  </si>
  <si>
    <t>hl sat (kJ/kg)</t>
  </si>
  <si>
    <t>WW (t/hr)</t>
  </si>
  <si>
    <t>V (Am3/hr)</t>
  </si>
  <si>
    <t>Gas (t/hr)</t>
  </si>
  <si>
    <t>P (barg)</t>
  </si>
  <si>
    <t>max 180 t/hr steam</t>
  </si>
  <si>
    <t>max 130 t/hr steam</t>
  </si>
  <si>
    <t>HP header</t>
  </si>
  <si>
    <t>IN</t>
  </si>
  <si>
    <t>OUT</t>
  </si>
  <si>
    <t>V (sm3/hr)</t>
  </si>
  <si>
    <t>HPS to IP header</t>
  </si>
  <si>
    <t>HP Demand</t>
  </si>
  <si>
    <t>5RB blowdown HX (not included in DA's)</t>
  </si>
  <si>
    <t>6005V</t>
  </si>
  <si>
    <t>Plant</t>
  </si>
  <si>
    <t>Quantity (t/hr)</t>
  </si>
  <si>
    <t>Return (%)</t>
  </si>
  <si>
    <t>Desuperheated HPS</t>
  </si>
  <si>
    <t>To demin tank 2</t>
  </si>
  <si>
    <t>From demin tank 2 outlet header</t>
  </si>
  <si>
    <t>Max HPS to turbine (t/hr)</t>
  </si>
  <si>
    <t>MPS needed</t>
  </si>
  <si>
    <t>LPS needed</t>
  </si>
  <si>
    <t>HPS to MP header</t>
  </si>
  <si>
    <t>IP header</t>
  </si>
  <si>
    <t>Steam demand</t>
  </si>
  <si>
    <t>Cold blowdown to drain</t>
  </si>
  <si>
    <t>IP Demand</t>
  </si>
  <si>
    <t>Total work (MW)</t>
  </si>
  <si>
    <t>PM6</t>
  </si>
  <si>
    <t>IPS to MP header</t>
  </si>
  <si>
    <t>307V</t>
  </si>
  <si>
    <t>MPS turbine exhaust</t>
  </si>
  <si>
    <t>LPS Turbine Exhaust</t>
  </si>
  <si>
    <t>Max LPS pass out (t/h)</t>
  </si>
  <si>
    <t>170V</t>
  </si>
  <si>
    <t>LP demand</t>
  </si>
  <si>
    <t>MPS letdown needed</t>
  </si>
  <si>
    <t>Desuperheated IPS</t>
  </si>
  <si>
    <t>HPS in 1</t>
  </si>
  <si>
    <t>Desuperheated MPS</t>
  </si>
  <si>
    <t>Work total (MW)</t>
  </si>
  <si>
    <t>s (kJ/kg)</t>
  </si>
  <si>
    <t>W1 (MW)</t>
  </si>
  <si>
    <t>MP header</t>
  </si>
  <si>
    <t>MPS to stage 2</t>
  </si>
  <si>
    <t>n isen</t>
  </si>
  <si>
    <t>LPS turbine exhaust</t>
  </si>
  <si>
    <t>MPS to LP header</t>
  </si>
  <si>
    <t>MP Demand</t>
  </si>
  <si>
    <t>LPS pass out</t>
  </si>
  <si>
    <t>309V</t>
  </si>
  <si>
    <t>PD2</t>
  </si>
  <si>
    <t>No1 mill</t>
  </si>
  <si>
    <t>No2 mill</t>
  </si>
  <si>
    <t>3CD</t>
  </si>
  <si>
    <t>MPS pass out</t>
  </si>
  <si>
    <t>ha (kJ/kg)</t>
  </si>
  <si>
    <t>from isen efficiency</t>
  </si>
  <si>
    <t>Boilers</t>
  </si>
  <si>
    <t>his (kJ/kg)</t>
  </si>
  <si>
    <t>Desup feed</t>
  </si>
  <si>
    <t>Total</t>
  </si>
  <si>
    <t>Desuperheated LPS</t>
  </si>
  <si>
    <t>5RB blowdown flash</t>
  </si>
  <si>
    <t>LP header</t>
  </si>
  <si>
    <t>0311V</t>
  </si>
  <si>
    <t>LP Demand</t>
  </si>
  <si>
    <t>Caustic &amp; kilns</t>
  </si>
  <si>
    <t>IDP</t>
  </si>
  <si>
    <t>Evaps</t>
  </si>
  <si>
    <t>DA's</t>
  </si>
  <si>
    <t>Detailed demands</t>
  </si>
  <si>
    <t>HP</t>
  </si>
  <si>
    <t>IP</t>
  </si>
  <si>
    <t>MP</t>
  </si>
  <si>
    <t>LP</t>
  </si>
  <si>
    <t>Upper</t>
  </si>
  <si>
    <t>Process Demands</t>
  </si>
  <si>
    <t>Tag</t>
  </si>
  <si>
    <t>Value</t>
  </si>
  <si>
    <t>Quantity</t>
  </si>
  <si>
    <t>Return</t>
  </si>
  <si>
    <t>PM6 motive</t>
  </si>
  <si>
    <t>Kin.FOXPM.816FT5469</t>
  </si>
  <si>
    <t>PM6 drying steam</t>
  </si>
  <si>
    <t>Kin.FOXPM.816FT5482</t>
  </si>
  <si>
    <t>No 1 caustic</t>
  </si>
  <si>
    <t>Kin.FOXSR.736FT0027</t>
  </si>
  <si>
    <t>PM6 heating steam</t>
  </si>
  <si>
    <t>No 2 caustic</t>
  </si>
  <si>
    <t>Kin.FOXSR.117FT0176</t>
  </si>
  <si>
    <t>2PD</t>
  </si>
  <si>
    <t>Kin.FOXPU.761F009</t>
  </si>
  <si>
    <t>NCG scrubber</t>
  </si>
  <si>
    <t>Kin.FOXSR.739FT0167</t>
  </si>
  <si>
    <t>No1 mill digesters (1-6, 7-13)</t>
  </si>
  <si>
    <t>No1 mill No2 DD HW heater</t>
  </si>
  <si>
    <t>Kin.FOXPU.714FT0942</t>
  </si>
  <si>
    <t>Kin.FOXPU.718FT0007</t>
  </si>
  <si>
    <t>No1 mill accumulator</t>
  </si>
  <si>
    <t>Kin.FOXPU.714FT0963</t>
  </si>
  <si>
    <t>No2 WL oxidation</t>
  </si>
  <si>
    <t>Kin.FOXPU.782FT2297</t>
  </si>
  <si>
    <t>No2 mill HW tanks (bore, waikato)</t>
  </si>
  <si>
    <t>Kin.FOXPU.718FT0305, KIN.FOXPU.718FT0316</t>
  </si>
  <si>
    <t>No2 BP  E1,2 heaters</t>
  </si>
  <si>
    <t>Kin.FOXPU.785FT3192</t>
  </si>
  <si>
    <t>Kin.FOXPM.816FT5443</t>
  </si>
  <si>
    <t>No2 BP O2 reactors</t>
  </si>
  <si>
    <t>Kin.FOXPU.782FC2013, Kin.FOXPU.782FC2097</t>
  </si>
  <si>
    <t>Kin.FOXPU.716FT1100</t>
  </si>
  <si>
    <t>IDP wk ClO2 plant</t>
  </si>
  <si>
    <t>Kin.FOXPU.779FT4569</t>
  </si>
  <si>
    <t>12 HD tank</t>
  </si>
  <si>
    <t>KIN.FOXPU.785FC3004</t>
  </si>
  <si>
    <t>Kin.FOXPU.714FT0222</t>
  </si>
  <si>
    <t>Parasitic Demands</t>
  </si>
  <si>
    <t>5RB sootblower</t>
  </si>
  <si>
    <t>Kin.FOXSR.745FI210</t>
  </si>
  <si>
    <t>5RB air heater</t>
  </si>
  <si>
    <t>Kin.FOXSR.745FI211</t>
  </si>
  <si>
    <t>Kin.FOXSR.745FI213</t>
  </si>
  <si>
    <t>Kin.FOXPU.718FT0305</t>
  </si>
  <si>
    <t>4RB sootblower (north, south)</t>
  </si>
  <si>
    <t>Kin.FOXSR.744FT0622, Kin.FOXSR.744FT0623</t>
  </si>
  <si>
    <t>5RB liqour heater</t>
  </si>
  <si>
    <t>Kin.FOXSR.745FC050</t>
  </si>
  <si>
    <t>5 evaps</t>
  </si>
  <si>
    <t>Kin.FOXSR.730FC510</t>
  </si>
  <si>
    <t>KIN.FOXPU.718FT0316</t>
  </si>
  <si>
    <t>8PB sootblower</t>
  </si>
  <si>
    <t>4 evaps</t>
  </si>
  <si>
    <t>Kin.FOXSR.734F019</t>
  </si>
  <si>
    <t>Kin.FOXPU.782FC2097</t>
  </si>
  <si>
    <t>4RB liqour heater</t>
  </si>
  <si>
    <t>Kin.FOXSR.744FC0133</t>
  </si>
  <si>
    <t>Kin.FOXSR.117FT0165</t>
  </si>
  <si>
    <t>Kin.FOXPU.782FC2013</t>
  </si>
  <si>
    <t>8PB BFW heater</t>
  </si>
  <si>
    <t>Kin.FOXSR.114FT0327</t>
  </si>
  <si>
    <t>Kin.FOXSR.745FI209</t>
  </si>
  <si>
    <t>Kin.FOXSR.114FY0319</t>
  </si>
  <si>
    <t>Stripper</t>
  </si>
  <si>
    <t>Kin.FOXSR.730FC841</t>
  </si>
  <si>
    <t>Simplified demands</t>
  </si>
  <si>
    <t>Kin.FOXSR.744FT0622</t>
  </si>
  <si>
    <t>Kin.FOXSR.744FT0623</t>
  </si>
  <si>
    <t>Total demands</t>
  </si>
  <si>
    <t>Demand</t>
  </si>
  <si>
    <t>C&amp;K</t>
  </si>
  <si>
    <t>S&amp;R</t>
  </si>
  <si>
    <t>4RB air heater + cascade evap</t>
  </si>
  <si>
    <t>Kin.FOXSR.117FT0182</t>
  </si>
  <si>
    <t>5RB air heater + precip tank</t>
  </si>
  <si>
    <t>Kin.FOXSR.745FI213,  Kin.FOXSR.745FI206</t>
  </si>
  <si>
    <t>BLOX</t>
  </si>
  <si>
    <t>Kin.FOXSR.729FT0019</t>
  </si>
  <si>
    <t>Kin.FOXSR.739FT0460</t>
  </si>
  <si>
    <t>Kin.FOXSR.787FT0044</t>
  </si>
  <si>
    <t>Kin.FOXSR.739FC0414</t>
  </si>
  <si>
    <t>Kin.FOXSR.117FT0180</t>
  </si>
  <si>
    <t>Kin.FOXPU.718FT0005</t>
  </si>
  <si>
    <t>Kin.FOXSR.745FI206</t>
  </si>
  <si>
    <t>Kin.FOXPM.816FT8277</t>
  </si>
  <si>
    <t>Kin.FOXPM.846FT2503</t>
  </si>
  <si>
    <t>Kin.FOXPM.816FT5484</t>
  </si>
  <si>
    <t>Kin.FOXPM.816FI5649</t>
  </si>
  <si>
    <t>Kin.FOXSR.128FY0329_1AVG.1</t>
  </si>
  <si>
    <t>Kin.FOXPU.714FT0004, Kin.FOXPU.714FT0222</t>
  </si>
  <si>
    <t>Fuel oil storage</t>
  </si>
  <si>
    <t>CTO plant</t>
  </si>
  <si>
    <t>2CD wash heaters</t>
  </si>
  <si>
    <t>PM6 additive plant</t>
  </si>
  <si>
    <t>PM6 recycle desup</t>
  </si>
  <si>
    <t>2CD steaming</t>
  </si>
  <si>
    <t>Kin.FOXPM.816FT5443, Kin.FOXPM.816FT5192, Kin.FOXPM.816FT5484</t>
  </si>
  <si>
    <t>PM6 press section</t>
  </si>
  <si>
    <t>2PG misc</t>
  </si>
  <si>
    <t xml:space="preserve">HP </t>
  </si>
  <si>
    <t>Tags</t>
  </si>
  <si>
    <t>Pressure</t>
  </si>
  <si>
    <t>C&amp;K Scrubber</t>
  </si>
  <si>
    <t>N tags</t>
  </si>
  <si>
    <t>2CD</t>
  </si>
  <si>
    <t>BP</t>
  </si>
  <si>
    <t>Bleach plant</t>
  </si>
  <si>
    <t>Kin.FOXPM.816FT5192</t>
  </si>
  <si>
    <t>Kin.FOXPU.714FT0004</t>
  </si>
  <si>
    <t>measures</t>
  </si>
  <si>
    <t>measured by 117FT0176</t>
  </si>
  <si>
    <t>technically MP steam</t>
  </si>
  <si>
    <t>Re-design goal</t>
  </si>
  <si>
    <t>Trusted measurement</t>
  </si>
  <si>
    <t>Guess</t>
  </si>
  <si>
    <t>Approximation</t>
  </si>
  <si>
    <t>Measured but not used</t>
  </si>
  <si>
    <t>Setpoint value</t>
  </si>
  <si>
    <t>Predicted from ML</t>
  </si>
  <si>
    <t>4evaps</t>
  </si>
  <si>
    <t>5evaps</t>
  </si>
  <si>
    <t>NHV (MJ/Nm3)</t>
  </si>
  <si>
    <t>balance</t>
  </si>
  <si>
    <t>Col</t>
  </si>
  <si>
    <t xml:space="preserve">  </t>
  </si>
  <si>
    <t>8PB SB</t>
  </si>
  <si>
    <t>4RB SB</t>
  </si>
  <si>
    <t>5RB SB</t>
  </si>
  <si>
    <t>Return (t/hr)</t>
  </si>
  <si>
    <t>HPS Needed</t>
  </si>
  <si>
    <t>No2 Fibreline Demands</t>
  </si>
  <si>
    <t>MP-S&amp;R Demands</t>
  </si>
  <si>
    <t>WBL Flow</t>
  </si>
  <si>
    <t>Solids (%)</t>
  </si>
  <si>
    <t>Constants from mill</t>
  </si>
  <si>
    <t>Scenario variables</t>
  </si>
  <si>
    <t>WBL to 5evaps (L/min)</t>
  </si>
  <si>
    <t>4evaps outlet solids (%)</t>
  </si>
  <si>
    <t>Calculated</t>
  </si>
  <si>
    <t>5evaps outlet solids (%)</t>
  </si>
  <si>
    <t>SBL from 4 evaps (L/min)</t>
  </si>
  <si>
    <t>HBL from 5 evaps (L/min)</t>
  </si>
  <si>
    <t>Temperature (oC)</t>
  </si>
  <si>
    <t>Oultet temperature (oC)</t>
  </si>
  <si>
    <t>Fired solids</t>
  </si>
  <si>
    <t>How is cascade evap controlled to achieve this</t>
  </si>
  <si>
    <t>HBL flow to guns (TDS/d)</t>
  </si>
  <si>
    <t>From ML model</t>
  </si>
  <si>
    <t>Fuel IN</t>
  </si>
  <si>
    <t>45 bar header</t>
  </si>
  <si>
    <t>Steam OUT</t>
  </si>
  <si>
    <t>Efficiency</t>
  </si>
  <si>
    <t>Total Gas (Nm3/hr)</t>
  </si>
  <si>
    <t>5RB gas</t>
  </si>
  <si>
    <t>8PB gas</t>
  </si>
  <si>
    <t>Calc</t>
  </si>
  <si>
    <t>Predicted</t>
  </si>
  <si>
    <t>Vacuum Pressure (kPA abs</t>
  </si>
  <si>
    <t>Air temperature (oC)</t>
  </si>
  <si>
    <t>Internal IBL sweetning (L/min)</t>
  </si>
  <si>
    <t xml:space="preserve">Wash to effect 1 </t>
  </si>
  <si>
    <t>WW feeder ratio SP</t>
  </si>
  <si>
    <t>Shift</t>
  </si>
  <si>
    <t>A</t>
  </si>
  <si>
    <t>Solids (TDS/d)</t>
  </si>
  <si>
    <t>950-1050</t>
  </si>
  <si>
    <t>650-750</t>
  </si>
  <si>
    <t>From 4RB air heater/cascade evap</t>
  </si>
  <si>
    <t>WBL Blend</t>
  </si>
  <si>
    <t>WBL Returns at DF=3.5</t>
  </si>
  <si>
    <t>Flow (L/min)</t>
  </si>
  <si>
    <t>Reclaim WBL</t>
  </si>
  <si>
    <t>Reclaim</t>
  </si>
  <si>
    <t>m total (t/hr)</t>
  </si>
  <si>
    <t>m solids (t/hr)</t>
  </si>
  <si>
    <t>Mix</t>
  </si>
  <si>
    <t>5evaps Blend</t>
  </si>
  <si>
    <t>WBL</t>
  </si>
  <si>
    <t>SBL</t>
  </si>
  <si>
    <t>Flowrate Available (L/min)</t>
  </si>
  <si>
    <t>WBL to 5evaps mix (L/min)</t>
  </si>
  <si>
    <t>HBL from 5 evaps (TDS/d)</t>
  </si>
  <si>
    <t>SBL from 4 evaps (TDS/d)</t>
  </si>
  <si>
    <t>HBL sweetining (L/min)</t>
  </si>
  <si>
    <t>WBL solids (TDS/d)</t>
  </si>
  <si>
    <t>Some must be sent to 5RB</t>
  </si>
  <si>
    <t>5RB Blend</t>
  </si>
  <si>
    <t>HBL</t>
  </si>
  <si>
    <t>HBL flow to guns (L/min)</t>
  </si>
  <si>
    <t>SBL to 4RB (L/min)</t>
  </si>
  <si>
    <t>BL flow to guns (TDS/d)</t>
  </si>
  <si>
    <t>BL flow to guns (L/min)</t>
  </si>
  <si>
    <t>5evaps inlet solids (%)</t>
  </si>
  <si>
    <t>Scenario Description</t>
  </si>
  <si>
    <t>Assumed Constants</t>
  </si>
  <si>
    <t>Water temperature (oC)</t>
  </si>
  <si>
    <t>Vent</t>
  </si>
  <si>
    <t>Balance Line</t>
  </si>
  <si>
    <t>Miscallenous Constants</t>
  </si>
  <si>
    <t>Excludes HBL sweetening</t>
  </si>
  <si>
    <t>5RB gas on/off</t>
  </si>
  <si>
    <t>4RB gas on/off</t>
  </si>
  <si>
    <t>PM6 demand</t>
  </si>
  <si>
    <t>1mill demand</t>
  </si>
  <si>
    <t>Past 24 hr rainfall (mm)</t>
  </si>
  <si>
    <t>3CD demand (t/hr)</t>
  </si>
  <si>
    <t>7PB steam prod (t/hr)</t>
  </si>
  <si>
    <t>WW MC (%)</t>
  </si>
  <si>
    <t>450 kPa vent (t/hr)</t>
  </si>
  <si>
    <t>FD fan temp</t>
  </si>
  <si>
    <t>Cogen turbine model</t>
  </si>
  <si>
    <t>Cooling water</t>
  </si>
  <si>
    <t>ATM turbine exhaust</t>
  </si>
  <si>
    <t>To No2 condensate</t>
  </si>
  <si>
    <t>Beca cooling tower sized for 25 MW</t>
  </si>
  <si>
    <t>Turbine generation (MW)</t>
  </si>
  <si>
    <t>Liqour eff</t>
  </si>
  <si>
    <t>Total eff</t>
  </si>
  <si>
    <t>4RB gas</t>
  </si>
  <si>
    <t>HPS to cogen</t>
  </si>
  <si>
    <t>mbal (t/hr)</t>
  </si>
  <si>
    <t>mact (t/hr)</t>
  </si>
  <si>
    <t>how much is required for mill</t>
  </si>
  <si>
    <t>includes surplus from WW</t>
  </si>
  <si>
    <t>Additional</t>
  </si>
  <si>
    <t>this is how much extra gen from condensing TG compared to using excess capacity in MP stage of cogen TG</t>
  </si>
  <si>
    <t>Gass eff</t>
  </si>
  <si>
    <t>WW eff</t>
  </si>
  <si>
    <t>oiler eff</t>
  </si>
  <si>
    <t>no gas</t>
  </si>
  <si>
    <t>only  gas</t>
  </si>
  <si>
    <t>800-900</t>
  </si>
  <si>
    <t>900-1000</t>
  </si>
  <si>
    <t>1000-1100</t>
  </si>
  <si>
    <t>1100-1200</t>
  </si>
  <si>
    <t>5RB Efficiencies</t>
  </si>
  <si>
    <t>4RB Efficiencies</t>
  </si>
  <si>
    <t>No2 PD Demands</t>
  </si>
  <si>
    <t>750-850</t>
  </si>
  <si>
    <t>850-950</t>
  </si>
  <si>
    <t>2CD Rate (ADT/d)</t>
  </si>
  <si>
    <t>PD2 Rate (ADT/d)</t>
  </si>
  <si>
    <t>600-650</t>
  </si>
  <si>
    <t xml:space="preserve">   </t>
  </si>
  <si>
    <t>Superheat LP stage</t>
  </si>
  <si>
    <t>Superheating steam</t>
  </si>
  <si>
    <t>this is likely too hot for the DA's, might need cooling to 150 or sent to flash tank and then to LP header</t>
  </si>
  <si>
    <t>Superheater</t>
  </si>
  <si>
    <t>does this change with more superheat?</t>
  </si>
  <si>
    <r>
      <rPr>
        <sz val="11"/>
        <color theme="1"/>
        <rFont val="Calibri"/>
        <family val="2"/>
      </rPr>
      <t>ƞ</t>
    </r>
    <r>
      <rPr>
        <vertAlign val="subscript"/>
        <sz val="11"/>
        <color theme="1"/>
        <rFont val="Calibri"/>
        <family val="2"/>
      </rPr>
      <t>isentropic</t>
    </r>
  </si>
  <si>
    <t>Turbine in</t>
  </si>
  <si>
    <t>Turbine out</t>
  </si>
  <si>
    <r>
      <t>T (</t>
    </r>
    <r>
      <rPr>
        <sz val="11"/>
        <color theme="1"/>
        <rFont val="Times New Roman"/>
        <family val="1"/>
      </rPr>
      <t>℃)</t>
    </r>
  </si>
  <si>
    <r>
      <t>Tsat (</t>
    </r>
    <r>
      <rPr>
        <sz val="11"/>
        <color theme="1"/>
        <rFont val="Times New Roman"/>
        <family val="1"/>
      </rPr>
      <t>℃)</t>
    </r>
  </si>
  <si>
    <t>P (kPa)</t>
  </si>
  <si>
    <t>h is (kJ/kg)</t>
  </si>
  <si>
    <t>h a (kJ/kg)</t>
  </si>
  <si>
    <t>s (kJ/kgK)</t>
  </si>
  <si>
    <t xml:space="preserve">∆T </t>
  </si>
  <si>
    <t>Pump out</t>
  </si>
  <si>
    <t>Condenser in</t>
  </si>
  <si>
    <t>w,in (kJ/kg)</t>
  </si>
  <si>
    <t>Condenser out</t>
  </si>
  <si>
    <t>W,in (kW)</t>
  </si>
  <si>
    <t>Pentane</t>
  </si>
  <si>
    <t xml:space="preserve">    </t>
  </si>
  <si>
    <t>W (MW)</t>
  </si>
  <si>
    <t>Duty (MW)</t>
  </si>
  <si>
    <t>Regenerator</t>
  </si>
  <si>
    <t>Evaporator in</t>
  </si>
  <si>
    <r>
      <t>ƞ</t>
    </r>
    <r>
      <rPr>
        <vertAlign val="subscript"/>
        <sz val="11"/>
        <color theme="1"/>
        <rFont val="Calibri"/>
        <family val="2"/>
      </rPr>
      <t>pump</t>
    </r>
  </si>
  <si>
    <t>Working Fluid:</t>
  </si>
  <si>
    <t>ORC  model</t>
  </si>
  <si>
    <t>ORC</t>
  </si>
  <si>
    <t>Condensing turbine</t>
  </si>
  <si>
    <t>MPS to ORC</t>
  </si>
  <si>
    <t>Mill Steam Demands</t>
  </si>
  <si>
    <t>props_H2O("T","P",BO135*100000,"Q",0,"water")-273.15-1</t>
  </si>
  <si>
    <t>can DA's go higher temp than 150?</t>
  </si>
  <si>
    <t>From condensing turbine/ORC</t>
  </si>
  <si>
    <t>This is better than condensing turbine since we take less heat from DA's</t>
  </si>
  <si>
    <t>$ capital</t>
  </si>
  <si>
    <t>$/MW-e</t>
  </si>
  <si>
    <t>$ revanue</t>
  </si>
  <si>
    <t>W from cogen (MW)</t>
  </si>
  <si>
    <t>Condensing turbine model option 1</t>
  </si>
  <si>
    <t>MPS in 1</t>
  </si>
  <si>
    <t>Condensing turbine model option 2 - unlinked to model</t>
  </si>
  <si>
    <t>trade-off between lower exhaust P and needing more steam in DA's, but more steam will also be good for stablising system with WW</t>
  </si>
  <si>
    <t>'CD2 On/Off'</t>
  </si>
  <si>
    <t>'PD2 On/Off'</t>
  </si>
  <si>
    <t>'mill1 On/Off'</t>
  </si>
  <si>
    <t>'PM6 On/Off'</t>
  </si>
  <si>
    <t>'CD3 On/Off'</t>
  </si>
  <si>
    <t>Calculated in model</t>
  </si>
  <si>
    <t>Calculated from ML</t>
  </si>
  <si>
    <t>LP-misc S&amp;R Demands</t>
  </si>
  <si>
    <t>5RB Liqoor FLR Range</t>
  </si>
  <si>
    <t>RB BL FLR (L/min)</t>
  </si>
  <si>
    <t>5RB BL FLR (L/min)</t>
  </si>
  <si>
    <t>2.Steam Balance</t>
  </si>
  <si>
    <t xml:space="preserve"> 1)Pulp Demand</t>
  </si>
  <si>
    <t>[t/h]</t>
  </si>
  <si>
    <t xml:space="preserve">  ①CD2</t>
  </si>
  <si>
    <t>　②Screen Room</t>
  </si>
  <si>
    <t xml:space="preserve">  ③Bleaching</t>
  </si>
  <si>
    <t xml:space="preserve">  ④4EV</t>
  </si>
  <si>
    <t xml:space="preserve">  ⑤5EV</t>
  </si>
  <si>
    <t xml:space="preserve">  ⑥4RB</t>
  </si>
  <si>
    <t xml:space="preserve">  ⑦5RB</t>
  </si>
  <si>
    <t xml:space="preserve">  ⑧LK+CAU</t>
  </si>
  <si>
    <t>　⑨PD2</t>
  </si>
  <si>
    <t xml:space="preserve">  ⑩Others (3%)</t>
  </si>
  <si>
    <t>Natural Gas</t>
  </si>
  <si>
    <t>Total ($/d)</t>
  </si>
  <si>
    <t>2CD (ADT/d)</t>
  </si>
  <si>
    <t>Turbine</t>
  </si>
  <si>
    <t>Generation (MW)</t>
  </si>
  <si>
    <t xml:space="preserve">Steam Generation </t>
  </si>
  <si>
    <t>WW</t>
  </si>
  <si>
    <t>4RB (t/hr)</t>
  </si>
  <si>
    <t>Liqour (t/hr)</t>
  </si>
  <si>
    <t>Total (t/hr)</t>
  </si>
  <si>
    <t>5RB (t/hr)</t>
  </si>
  <si>
    <t>8PB (t/hr)</t>
  </si>
  <si>
    <t>Generation ($/d)</t>
  </si>
  <si>
    <t>$/MWh</t>
  </si>
  <si>
    <t>Total (GJ/d)</t>
  </si>
  <si>
    <t>$/GJ</t>
  </si>
  <si>
    <t>Scenario</t>
  </si>
  <si>
    <t>Gas Cost ($/d)</t>
  </si>
  <si>
    <t>Gas Consumption (GJ/d)</t>
  </si>
  <si>
    <t>Net Cost ($/d)</t>
  </si>
  <si>
    <t>Net Cost ($/yr)</t>
  </si>
  <si>
    <t>Scenario Value</t>
  </si>
  <si>
    <t>Sootblowers</t>
  </si>
  <si>
    <t>RB Liqoor FLR Range (L/min)</t>
  </si>
  <si>
    <t>2CD Prod Rate Range (ADT/d)</t>
  </si>
  <si>
    <t>Extracted plant data</t>
  </si>
  <si>
    <t>Prod Rate Range (ADT/d)</t>
  </si>
  <si>
    <t>Steam Flowmeters Filtered by Intervals</t>
  </si>
  <si>
    <t>Copy other scenario results here</t>
  </si>
  <si>
    <t>current active scenario</t>
  </si>
  <si>
    <t>Constants</t>
  </si>
  <si>
    <t>Price Constants</t>
  </si>
  <si>
    <t>Electricity</t>
  </si>
  <si>
    <t>Electricity Net Cost ($/d)</t>
  </si>
  <si>
    <t>Electricity Demand (MW)</t>
  </si>
  <si>
    <t>Give description of scenario e.g 1000 ADT/d with ORC</t>
  </si>
  <si>
    <t>BL Mixing Calculations</t>
  </si>
  <si>
    <t>Water Evaporation</t>
  </si>
  <si>
    <t>m total in (t/hr)</t>
  </si>
  <si>
    <t>m total out (t/hr)</t>
  </si>
  <si>
    <t>Evaporated (t/hr)</t>
  </si>
  <si>
    <t>Model</t>
  </si>
  <si>
    <t>Machine Learning Predictions</t>
  </si>
  <si>
    <t>Liqour Allocation Calculations</t>
  </si>
  <si>
    <t>Constant</t>
  </si>
  <si>
    <t>Major Scenario Parameters</t>
  </si>
  <si>
    <t>Parameter</t>
  </si>
  <si>
    <t>Option</t>
  </si>
  <si>
    <t>2a</t>
  </si>
  <si>
    <t>2b</t>
  </si>
  <si>
    <t>Turbine exhaust pressure (bar abs)</t>
  </si>
  <si>
    <t>Superheat temp (oC)</t>
  </si>
  <si>
    <t>TDS/d</t>
  </si>
  <si>
    <t xml:space="preserve">800-900 </t>
  </si>
  <si>
    <t xml:space="preserve">&gt;1200 </t>
  </si>
  <si>
    <t xml:space="preserve">&gt;1100 </t>
  </si>
  <si>
    <t>Beca sized new cooling tower for 25 MW</t>
  </si>
  <si>
    <t>Add your values here</t>
  </si>
  <si>
    <t>No gas eff</t>
  </si>
  <si>
    <t>res steam</t>
  </si>
  <si>
    <t>h steam</t>
  </si>
  <si>
    <t>liq steam</t>
  </si>
  <si>
    <t>kg/s</t>
  </si>
  <si>
    <t>Q res steam</t>
  </si>
  <si>
    <t>Qgas=mtotal*hsteam-Qliq*Nliq</t>
  </si>
  <si>
    <t>Qgas+Qliq+QBFW=Qsteam+Qblowdown</t>
  </si>
  <si>
    <t>Pre-shut</t>
  </si>
  <si>
    <t>Changelog since writing thesis</t>
  </si>
  <si>
    <t>Gas distribution calculation now considers blowdown energy</t>
  </si>
  <si>
    <t>BFW doesn’t add sootblowing steam since this is taken off header rather than boiler. Means that I was overestimating DA steam</t>
  </si>
  <si>
    <t>1000 ADT/d</t>
  </si>
  <si>
    <t>500 ADT/d</t>
  </si>
  <si>
    <t>700 ADT/d</t>
  </si>
  <si>
    <t>RB1 (GJ/d)</t>
  </si>
  <si>
    <t>RB2 (GJ/d)</t>
  </si>
  <si>
    <t>PB1 (GJ/d)</t>
  </si>
  <si>
    <t>PB2 (GJ/d)</t>
  </si>
  <si>
    <t>CST (GJ/d)</t>
  </si>
  <si>
    <t>1000 Vent</t>
  </si>
  <si>
    <t>1000 CT/ORC</t>
  </si>
  <si>
    <t>1000 ADT/d Vent</t>
  </si>
  <si>
    <t>1000 ADT/d CT/ORC</t>
  </si>
  <si>
    <t>1000 ADT/d CT 8% liq</t>
  </si>
  <si>
    <t>1000 ADT/d CT 0% liq</t>
  </si>
  <si>
    <t>Electricity Import (MW)</t>
  </si>
  <si>
    <t>Unit Production Energy Cost</t>
  </si>
  <si>
    <t>1000 ADT/d ORC</t>
  </si>
  <si>
    <t xml:space="preserve">Active </t>
  </si>
  <si>
    <t>CPM production rate (ADT/d)</t>
  </si>
  <si>
    <t>RB1 TDS/d split</t>
  </si>
  <si>
    <t>WBL to EV 1 (L/min)</t>
  </si>
  <si>
    <t>PD (ADT/d)</t>
  </si>
  <si>
    <t>PM (ADT/d)</t>
  </si>
  <si>
    <t>BPM (ADT/d)</t>
  </si>
  <si>
    <t>HPM (ADT/d)</t>
  </si>
  <si>
    <t>PB2 WW steam SP (t/hr)</t>
  </si>
  <si>
    <t>PB2 Min gas (Nm3/hr)</t>
  </si>
  <si>
    <t>EV1 steam cons (t/hr)</t>
  </si>
  <si>
    <t>EV2 steam cons (t/hr)</t>
  </si>
  <si>
    <t>RB2 steam prod (t/hr)</t>
  </si>
  <si>
    <t>RB1 steam prod (t/hr)</t>
  </si>
  <si>
    <t>Gas consumption (Nm3/hr)</t>
  </si>
  <si>
    <t>CPM ADT/d</t>
  </si>
  <si>
    <t>CPM</t>
  </si>
  <si>
    <t>What-if' Scenario Parameters</t>
  </si>
  <si>
    <t>EVP1 Out Solids %</t>
  </si>
  <si>
    <t>EVP1 In Liqour FLR</t>
  </si>
  <si>
    <t>EVP1 In Liqour Temp</t>
  </si>
  <si>
    <t>EVP1 In Solids %</t>
  </si>
  <si>
    <t>Water Temp</t>
  </si>
  <si>
    <t>CPM Rate</t>
  </si>
  <si>
    <t>BPM Rate</t>
  </si>
  <si>
    <t>HPM Rate</t>
  </si>
  <si>
    <t>Shift Number</t>
  </si>
  <si>
    <t>EVP2 Out Solids %</t>
  </si>
  <si>
    <t>EVP2 In Liqour FLR</t>
  </si>
  <si>
    <t>Internal Sweetning</t>
  </si>
  <si>
    <t>EVP2 In Solids %</t>
  </si>
  <si>
    <t>EVP2 In Liqour Temp</t>
  </si>
  <si>
    <t>Air Temp</t>
  </si>
  <si>
    <t>Wash Liqour FLR</t>
  </si>
  <si>
    <t>EV1 Features</t>
  </si>
  <si>
    <t>EV2 Features</t>
  </si>
  <si>
    <t>EV1 Vacuum Pressure</t>
  </si>
  <si>
    <t>EV2 Vacuum Pressure</t>
  </si>
  <si>
    <t>RB1 Features</t>
  </si>
  <si>
    <t>RB2 Features</t>
  </si>
  <si>
    <t>Total Gas Consumption Features</t>
  </si>
  <si>
    <t>Turbine Generation Features</t>
  </si>
  <si>
    <t>Vent FLR</t>
  </si>
  <si>
    <t>Total MPS FLR</t>
  </si>
  <si>
    <t>Total LPS FLR</t>
  </si>
  <si>
    <t>EVP Steam FLR</t>
  </si>
  <si>
    <t>PM Steam FLR</t>
  </si>
  <si>
    <t>PD Steam FLR</t>
  </si>
  <si>
    <t>BPM Steam FLR</t>
  </si>
  <si>
    <t>CPM Steam FLR</t>
  </si>
  <si>
    <t>BLP Steam FLR</t>
  </si>
  <si>
    <t>HPM Steam FLR</t>
  </si>
  <si>
    <t>CST Steam FLR</t>
  </si>
  <si>
    <t>CEP steam FLR</t>
  </si>
  <si>
    <t>Total Steam FLR</t>
  </si>
  <si>
    <t>Total Steam FLR -1</t>
  </si>
  <si>
    <t>RB1 TDS/d</t>
  </si>
  <si>
    <t>RB2 TDS/d</t>
  </si>
  <si>
    <t>RB2 TDS/d -1</t>
  </si>
  <si>
    <t>RB Steam Prod</t>
  </si>
  <si>
    <t>CURRENT SHIFT Number</t>
  </si>
  <si>
    <t>Time Since Boilout</t>
  </si>
  <si>
    <t>EVP1 In Liqour FLR -2</t>
  </si>
  <si>
    <t>Rolling Inlet Solids</t>
  </si>
  <si>
    <t>RB1 Liqour FLR</t>
  </si>
  <si>
    <t>RB1 Liqour Solids %</t>
  </si>
  <si>
    <t>RB1 Gas On/Off</t>
  </si>
  <si>
    <t>RB2 Liqour FLR</t>
  </si>
  <si>
    <t>RB2 Liqour Solids %</t>
  </si>
  <si>
    <t>RB2 Gas On/Off</t>
  </si>
  <si>
    <t>CEP Steam FLR</t>
  </si>
  <si>
    <t>Rolling Air Temp</t>
  </si>
  <si>
    <t>EVP2 In Liqour FLR--1</t>
  </si>
  <si>
    <t>WW Moisture %</t>
  </si>
  <si>
    <t>WW Screw Ratio</t>
  </si>
  <si>
    <t>PB2 Steam Gen</t>
  </si>
  <si>
    <t>PB1 Steam Gen</t>
  </si>
  <si>
    <t>CPM Online</t>
  </si>
  <si>
    <t>PD Online</t>
  </si>
  <si>
    <t>BPM Online</t>
  </si>
  <si>
    <t>PM Online</t>
  </si>
  <si>
    <t>HPM Online</t>
  </si>
  <si>
    <t>RB1 TDS/d - 1</t>
  </si>
  <si>
    <t xml:space="preserve">Total Daily Rainfall </t>
  </si>
  <si>
    <t>flow mass</t>
  </si>
  <si>
    <t>t/h</t>
  </si>
  <si>
    <t>Work</t>
  </si>
  <si>
    <t>P in (bar)</t>
  </si>
  <si>
    <t>n isen (%)</t>
  </si>
  <si>
    <t>h is</t>
  </si>
  <si>
    <t>h a</t>
  </si>
  <si>
    <t>s in (kJ/kg)</t>
  </si>
  <si>
    <t>T in (oC)</t>
  </si>
  <si>
    <t>h in</t>
  </si>
  <si>
    <t>w (kJ/kg)</t>
  </si>
  <si>
    <t>kW</t>
  </si>
  <si>
    <t>Specified</t>
  </si>
  <si>
    <t>Calculations</t>
  </si>
  <si>
    <t>Regressed</t>
  </si>
  <si>
    <t>n</t>
  </si>
  <si>
    <t>W_int</t>
  </si>
  <si>
    <t>Work a</t>
  </si>
  <si>
    <t>Work willans</t>
  </si>
  <si>
    <t>Res</t>
  </si>
  <si>
    <t>kW/t(/h)</t>
  </si>
  <si>
    <t>flow mol</t>
  </si>
  <si>
    <t>mol/s</t>
  </si>
  <si>
    <t>kJ/mol</t>
  </si>
  <si>
    <t>Simple Willans</t>
  </si>
  <si>
    <t>Relaxed Simple Willans</t>
  </si>
  <si>
    <t>eps</t>
  </si>
  <si>
    <t>Relaxed simple</t>
  </si>
  <si>
    <t>Part load</t>
  </si>
  <si>
    <t>Regressed simple</t>
  </si>
  <si>
    <t>Regressed part load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</si>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</sst>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0.00000"/>
    <numFmt numFmtId="169" formatCode="0.0000000000000"/>
    <numFmt numFmtId="170" formatCode="_(* #,##0_);_(* \(#,##0\);_(* &quot;-&quot;??_);_(@_)"/>
    <numFmt numFmtId="171" formatCode="0.0E+00"/>
    <numFmt numFmtId="172" formatCode="0.00000000000"/>
    <numFmt numFmtId="173" formatCode="0.000000"/>
    <numFmt numFmtId="174" formatCode="0.000000%"/>
    <numFmt numFmtId="175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vertAlign val="subscript"/>
      <sz val="11"/>
      <color theme="1"/>
      <name val="Calibri"/>
      <family val="2"/>
    </font>
    <font>
      <sz val="11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D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2" fillId="0" borderId="0" applyFont="0" applyFill="0" applyBorder="0" applyAlignment="0" applyProtection="0"/>
  </cellStyleXfs>
  <cellXfs count="173">
    <xf numFmtId="0" fontId="0" fillId="0" borderId="0" xfId="0"/>
    <xf numFmtId="0" fontId="0" fillId="4" borderId="0" xfId="0" applyFill="1"/>
    <xf numFmtId="164" fontId="0" fillId="0" borderId="0" xfId="1" applyFont="1"/>
    <xf numFmtId="0" fontId="0" fillId="5" borderId="0" xfId="0" applyFill="1"/>
    <xf numFmtId="9" fontId="0" fillId="0" borderId="0" xfId="2" applyFont="1"/>
    <xf numFmtId="9" fontId="0" fillId="5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9" fontId="0" fillId="0" borderId="1" xfId="2" applyFont="1" applyBorder="1"/>
    <xf numFmtId="165" fontId="0" fillId="0" borderId="1" xfId="0" applyNumberFormat="1" applyBorder="1"/>
    <xf numFmtId="0" fontId="0" fillId="5" borderId="1" xfId="0" applyFill="1" applyBorder="1"/>
    <xf numFmtId="166" fontId="0" fillId="5" borderId="1" xfId="0" applyNumberFormat="1" applyFill="1" applyBorder="1"/>
    <xf numFmtId="11" fontId="0" fillId="0" borderId="0" xfId="0" applyNumberFormat="1"/>
    <xf numFmtId="165" fontId="0" fillId="0" borderId="0" xfId="0" applyNumberFormat="1"/>
    <xf numFmtId="0" fontId="0" fillId="0" borderId="5" xfId="0" applyBorder="1"/>
    <xf numFmtId="10" fontId="0" fillId="5" borderId="1" xfId="0" applyNumberFormat="1" applyFill="1" applyBorder="1"/>
    <xf numFmtId="0" fontId="2" fillId="0" borderId="1" xfId="0" applyFont="1" applyBorder="1"/>
    <xf numFmtId="0" fontId="0" fillId="4" borderId="1" xfId="0" applyFill="1" applyBorder="1"/>
    <xf numFmtId="0" fontId="0" fillId="9" borderId="1" xfId="0" applyFill="1" applyBorder="1"/>
    <xf numFmtId="2" fontId="0" fillId="0" borderId="1" xfId="0" applyNumberFormat="1" applyBorder="1"/>
    <xf numFmtId="167" fontId="0" fillId="0" borderId="1" xfId="0" applyNumberFormat="1" applyBorder="1"/>
    <xf numFmtId="0" fontId="0" fillId="12" borderId="1" xfId="0" applyFill="1" applyBorder="1"/>
    <xf numFmtId="2" fontId="0" fillId="0" borderId="0" xfId="0" applyNumberFormat="1"/>
    <xf numFmtId="167" fontId="0" fillId="0" borderId="0" xfId="0" applyNumberFormat="1"/>
    <xf numFmtId="2" fontId="0" fillId="12" borderId="1" xfId="0" applyNumberFormat="1" applyFill="1" applyBorder="1"/>
    <xf numFmtId="1" fontId="0" fillId="12" borderId="0" xfId="0" applyNumberFormat="1" applyFill="1"/>
    <xf numFmtId="1" fontId="0" fillId="0" borderId="0" xfId="0" applyNumberFormat="1"/>
    <xf numFmtId="1" fontId="0" fillId="13" borderId="0" xfId="0" applyNumberFormat="1" applyFill="1"/>
    <xf numFmtId="0" fontId="2" fillId="0" borderId="0" xfId="0" applyFont="1"/>
    <xf numFmtId="1" fontId="0" fillId="0" borderId="1" xfId="0" applyNumberFormat="1" applyBorder="1"/>
    <xf numFmtId="0" fontId="0" fillId="14" borderId="1" xfId="0" applyFill="1" applyBorder="1"/>
    <xf numFmtId="0" fontId="0" fillId="0" borderId="6" xfId="0" applyBorder="1"/>
    <xf numFmtId="0" fontId="3" fillId="0" borderId="0" xfId="0" applyFont="1"/>
    <xf numFmtId="0" fontId="0" fillId="9" borderId="0" xfId="0" applyFill="1"/>
    <xf numFmtId="0" fontId="0" fillId="2" borderId="0" xfId="0" applyFill="1"/>
    <xf numFmtId="0" fontId="0" fillId="8" borderId="0" xfId="0" applyFill="1"/>
    <xf numFmtId="0" fontId="7" fillId="0" borderId="1" xfId="0" applyFont="1" applyBorder="1"/>
    <xf numFmtId="0" fontId="7" fillId="0" borderId="0" xfId="0" applyFont="1"/>
    <xf numFmtId="9" fontId="7" fillId="0" borderId="1" xfId="0" applyNumberFormat="1" applyFont="1" applyBorder="1"/>
    <xf numFmtId="1" fontId="0" fillId="15" borderId="0" xfId="0" applyNumberFormat="1" applyFill="1"/>
    <xf numFmtId="1" fontId="0" fillId="4" borderId="0" xfId="0" applyNumberFormat="1" applyFill="1"/>
    <xf numFmtId="1" fontId="0" fillId="6" borderId="0" xfId="0" applyNumberFormat="1" applyFill="1"/>
    <xf numFmtId="1" fontId="0" fillId="5" borderId="0" xfId="0" applyNumberFormat="1" applyFill="1"/>
    <xf numFmtId="1" fontId="0" fillId="14" borderId="0" xfId="0" applyNumberFormat="1" applyFill="1"/>
    <xf numFmtId="1" fontId="0" fillId="16" borderId="0" xfId="0" applyNumberFormat="1" applyFill="1"/>
    <xf numFmtId="0" fontId="0" fillId="16" borderId="1" xfId="0" applyFill="1" applyBorder="1"/>
    <xf numFmtId="0" fontId="0" fillId="17" borderId="0" xfId="0" applyFill="1"/>
    <xf numFmtId="0" fontId="4" fillId="17" borderId="1" xfId="0" applyFont="1" applyFill="1" applyBorder="1"/>
    <xf numFmtId="165" fontId="2" fillId="0" borderId="1" xfId="0" applyNumberFormat="1" applyFont="1" applyBorder="1"/>
    <xf numFmtId="165" fontId="4" fillId="17" borderId="1" xfId="0" applyNumberFormat="1" applyFont="1" applyFill="1" applyBorder="1"/>
    <xf numFmtId="165" fontId="0" fillId="12" borderId="1" xfId="0" applyNumberFormat="1" applyFill="1" applyBorder="1"/>
    <xf numFmtId="0" fontId="0" fillId="0" borderId="0" xfId="0" quotePrefix="1"/>
    <xf numFmtId="0" fontId="8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left" vertical="top"/>
    </xf>
    <xf numFmtId="165" fontId="0" fillId="16" borderId="1" xfId="0" applyNumberFormat="1" applyFill="1" applyBorder="1"/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0" xfId="0" applyFill="1"/>
    <xf numFmtId="0" fontId="0" fillId="14" borderId="0" xfId="0" applyFill="1"/>
    <xf numFmtId="165" fontId="0" fillId="14" borderId="1" xfId="0" applyNumberFormat="1" applyFill="1" applyBorder="1"/>
    <xf numFmtId="166" fontId="0" fillId="4" borderId="0" xfId="0" applyNumberFormat="1" applyFill="1"/>
    <xf numFmtId="166" fontId="0" fillId="5" borderId="0" xfId="0" applyNumberFormat="1" applyFill="1"/>
    <xf numFmtId="0" fontId="4" fillId="17" borderId="0" xfId="0" applyFont="1" applyFill="1"/>
    <xf numFmtId="165" fontId="9" fillId="0" borderId="1" xfId="0" applyNumberFormat="1" applyFont="1" applyBorder="1"/>
    <xf numFmtId="0" fontId="0" fillId="5" borderId="0" xfId="0" applyFill="1" applyAlignment="1">
      <alignment horizontal="right"/>
    </xf>
    <xf numFmtId="0" fontId="2" fillId="3" borderId="1" xfId="0" applyFont="1" applyFill="1" applyBorder="1" applyAlignment="1">
      <alignment horizontal="center"/>
    </xf>
    <xf numFmtId="2" fontId="0" fillId="5" borderId="1" xfId="0" applyNumberFormat="1" applyFill="1" applyBorder="1"/>
    <xf numFmtId="165" fontId="0" fillId="7" borderId="1" xfId="0" applyNumberFormat="1" applyFill="1" applyBorder="1"/>
    <xf numFmtId="165" fontId="0" fillId="5" borderId="1" xfId="0" applyNumberFormat="1" applyFill="1" applyBorder="1"/>
    <xf numFmtId="166" fontId="0" fillId="0" borderId="0" xfId="0" applyNumberFormat="1"/>
    <xf numFmtId="166" fontId="0" fillId="0" borderId="0" xfId="2" applyNumberFormat="1" applyFont="1"/>
    <xf numFmtId="168" fontId="0" fillId="0" borderId="0" xfId="0" applyNumberFormat="1"/>
    <xf numFmtId="169" fontId="0" fillId="0" borderId="0" xfId="0" applyNumberFormat="1"/>
    <xf numFmtId="0" fontId="9" fillId="0" borderId="0" xfId="0" applyFont="1" applyAlignment="1">
      <alignment vertical="center"/>
    </xf>
    <xf numFmtId="0" fontId="0" fillId="6" borderId="1" xfId="0" applyFill="1" applyBorder="1"/>
    <xf numFmtId="9" fontId="0" fillId="3" borderId="1" xfId="0" applyNumberFormat="1" applyFill="1" applyBorder="1"/>
    <xf numFmtId="0" fontId="0" fillId="3" borderId="1" xfId="0" applyFill="1" applyBorder="1"/>
    <xf numFmtId="9" fontId="0" fillId="5" borderId="0" xfId="2" applyFont="1" applyFill="1"/>
    <xf numFmtId="1" fontId="4" fillId="17" borderId="0" xfId="0" applyNumberFormat="1" applyFont="1" applyFill="1"/>
    <xf numFmtId="170" fontId="0" fillId="0" borderId="0" xfId="1" applyNumberFormat="1" applyFont="1"/>
    <xf numFmtId="2" fontId="0" fillId="14" borderId="1" xfId="0" applyNumberFormat="1" applyFill="1" applyBorder="1"/>
    <xf numFmtId="1" fontId="2" fillId="0" borderId="1" xfId="0" applyNumberFormat="1" applyFont="1" applyBorder="1"/>
    <xf numFmtId="9" fontId="0" fillId="4" borderId="1" xfId="0" applyNumberFormat="1" applyFill="1" applyBorder="1"/>
    <xf numFmtId="0" fontId="5" fillId="0" borderId="0" xfId="0" applyFont="1"/>
    <xf numFmtId="0" fontId="14" fillId="0" borderId="0" xfId="0" applyFont="1"/>
    <xf numFmtId="165" fontId="0" fillId="5" borderId="0" xfId="0" applyNumberFormat="1" applyFill="1"/>
    <xf numFmtId="170" fontId="0" fillId="0" borderId="1" xfId="1" applyNumberFormat="1" applyFont="1" applyBorder="1"/>
    <xf numFmtId="171" fontId="0" fillId="0" borderId="0" xfId="0" applyNumberFormat="1"/>
    <xf numFmtId="170" fontId="0" fillId="0" borderId="0" xfId="0" applyNumberFormat="1"/>
    <xf numFmtId="0" fontId="0" fillId="18" borderId="0" xfId="0" applyFill="1"/>
    <xf numFmtId="0" fontId="0" fillId="10" borderId="0" xfId="0" applyFill="1"/>
    <xf numFmtId="1" fontId="2" fillId="0" borderId="0" xfId="0" applyNumberFormat="1" applyFont="1"/>
    <xf numFmtId="3" fontId="0" fillId="0" borderId="0" xfId="1" applyNumberFormat="1" applyFont="1"/>
    <xf numFmtId="3" fontId="2" fillId="0" borderId="0" xfId="1" applyNumberFormat="1" applyFont="1"/>
    <xf numFmtId="172" fontId="0" fillId="0" borderId="0" xfId="0" applyNumberFormat="1"/>
    <xf numFmtId="173" fontId="0" fillId="0" borderId="0" xfId="0" applyNumberFormat="1"/>
    <xf numFmtId="165" fontId="0" fillId="18" borderId="1" xfId="0" applyNumberFormat="1" applyFill="1" applyBorder="1"/>
    <xf numFmtId="165" fontId="0" fillId="10" borderId="1" xfId="0" applyNumberFormat="1" applyFill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left"/>
    </xf>
    <xf numFmtId="170" fontId="0" fillId="5" borderId="1" xfId="1" applyNumberFormat="1" applyFont="1" applyFill="1" applyBorder="1"/>
    <xf numFmtId="170" fontId="2" fillId="0" borderId="1" xfId="1" applyNumberFormat="1" applyFont="1" applyBorder="1"/>
    <xf numFmtId="3" fontId="2" fillId="0" borderId="1" xfId="1" applyNumberFormat="1" applyFont="1" applyBorder="1"/>
    <xf numFmtId="3" fontId="0" fillId="0" borderId="1" xfId="1" applyNumberFormat="1" applyFont="1" applyBorder="1"/>
    <xf numFmtId="165" fontId="4" fillId="17" borderId="0" xfId="0" applyNumberFormat="1" applyFont="1" applyFill="1"/>
    <xf numFmtId="166" fontId="0" fillId="4" borderId="1" xfId="0" applyNumberFormat="1" applyFill="1" applyBorder="1"/>
    <xf numFmtId="10" fontId="0" fillId="4" borderId="1" xfId="0" applyNumberFormat="1" applyFill="1" applyBorder="1"/>
    <xf numFmtId="166" fontId="0" fillId="0" borderId="1" xfId="0" applyNumberFormat="1" applyBorder="1"/>
    <xf numFmtId="166" fontId="0" fillId="0" borderId="1" xfId="2" applyNumberFormat="1" applyFont="1" applyBorder="1"/>
    <xf numFmtId="0" fontId="2" fillId="0" borderId="6" xfId="0" applyFont="1" applyBorder="1"/>
    <xf numFmtId="0" fontId="0" fillId="0" borderId="1" xfId="0" applyBorder="1" applyAlignment="1">
      <alignment horizontal="center" vertical="center"/>
    </xf>
    <xf numFmtId="165" fontId="0" fillId="4" borderId="1" xfId="0" applyNumberFormat="1" applyFill="1" applyBorder="1"/>
    <xf numFmtId="165" fontId="0" fillId="13" borderId="1" xfId="0" applyNumberFormat="1" applyFill="1" applyBorder="1"/>
    <xf numFmtId="0" fontId="0" fillId="0" borderId="1" xfId="0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166" fontId="0" fillId="0" borderId="1" xfId="2" applyNumberFormat="1" applyFont="1" applyFill="1" applyBorder="1"/>
    <xf numFmtId="9" fontId="0" fillId="5" borderId="1" xfId="0" applyNumberFormat="1" applyFill="1" applyBorder="1"/>
    <xf numFmtId="174" fontId="0" fillId="0" borderId="0" xfId="0" applyNumberFormat="1"/>
    <xf numFmtId="1" fontId="0" fillId="0" borderId="1" xfId="0" applyNumberFormat="1" applyBorder="1" applyAlignment="1">
      <alignment vertical="center" wrapText="1"/>
    </xf>
    <xf numFmtId="0" fontId="0" fillId="0" borderId="6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175" fontId="2" fillId="0" borderId="1" xfId="1" applyNumberFormat="1" applyFont="1" applyBorder="1"/>
    <xf numFmtId="0" fontId="2" fillId="0" borderId="5" xfId="0" applyFont="1" applyBorder="1"/>
    <xf numFmtId="3" fontId="0" fillId="0" borderId="0" xfId="0" applyNumberFormat="1"/>
    <xf numFmtId="0" fontId="9" fillId="0" borderId="1" xfId="0" applyFont="1" applyBorder="1" applyAlignment="1">
      <alignment vertical="center"/>
    </xf>
    <xf numFmtId="165" fontId="0" fillId="0" borderId="1" xfId="2" applyNumberFormat="1" applyFont="1" applyBorder="1"/>
    <xf numFmtId="2" fontId="0" fillId="0" borderId="1" xfId="2" applyNumberFormat="1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vertical="center"/>
    </xf>
    <xf numFmtId="0" fontId="0" fillId="0" borderId="1" xfId="0" quotePrefix="1" applyBorder="1" applyAlignment="1">
      <alignment vertical="center"/>
    </xf>
    <xf numFmtId="0" fontId="9" fillId="0" borderId="1" xfId="0" quotePrefix="1" applyFont="1" applyBorder="1" applyAlignment="1">
      <alignment vertical="center"/>
    </xf>
    <xf numFmtId="0" fontId="2" fillId="10" borderId="1" xfId="0" applyFont="1" applyFill="1" applyBorder="1"/>
    <xf numFmtId="0" fontId="10" fillId="10" borderId="1" xfId="0" applyFont="1" applyFill="1" applyBorder="1" applyAlignment="1">
      <alignment vertical="center"/>
    </xf>
    <xf numFmtId="0" fontId="10" fillId="10" borderId="2" xfId="0" applyFont="1" applyFill="1" applyBorder="1" applyAlignment="1">
      <alignment horizontal="left" vertical="center"/>
    </xf>
    <xf numFmtId="2" fontId="0" fillId="0" borderId="0" xfId="1" applyNumberFormat="1" applyFont="1"/>
    <xf numFmtId="0" fontId="0" fillId="0" borderId="1" xfId="0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10" borderId="0" xfId="0" quotePrefix="1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7">
    <cellStyle name="Comma" xfId="1" builtinId="3"/>
    <cellStyle name="Normal" xfId="0" builtinId="0"/>
    <cellStyle name="Normal 2" xfId="3" xr:uid="{AC4DA028-291B-4379-89A1-CFE64E1BCEF4}"/>
    <cellStyle name="Normal 3" xfId="5" xr:uid="{76D27C1D-47BB-4A3E-9217-3FEBAA41DC9B}"/>
    <cellStyle name="Percent" xfId="2" builtinId="5"/>
    <cellStyle name="Percent 2" xfId="4" xr:uid="{4976BC35-456E-4CE1-9A7E-0187A90A1C58}"/>
    <cellStyle name="Percent 3" xfId="6" xr:uid="{C9FA545D-051F-4F18-89B5-2DB71F96B18C}"/>
  </cellStyles>
  <dxfs count="0"/>
  <tableStyles count="0" defaultTableStyle="TableStyleMedium2" defaultPivotStyle="PivotStyleLight16"/>
  <colors>
    <mruColors>
      <color rgb="FFFF7D8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Simple Willans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Flowsheet!$CC$134:$CC$144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Flowsheet!$CE$134:$CE$144</c:f>
              <c:numCache>
                <c:formatCode>General</c:formatCode>
                <c:ptCount val="11"/>
                <c:pt idx="0">
                  <c:v>0</c:v>
                </c:pt>
                <c:pt idx="1">
                  <c:v>675.96897799369845</c:v>
                </c:pt>
                <c:pt idx="2">
                  <c:v>1351.9379559873969</c:v>
                </c:pt>
                <c:pt idx="3">
                  <c:v>2027.9069339810956</c:v>
                </c:pt>
                <c:pt idx="4">
                  <c:v>2703.8759119747938</c:v>
                </c:pt>
                <c:pt idx="5">
                  <c:v>3379.8448899684927</c:v>
                </c:pt>
                <c:pt idx="6">
                  <c:v>4055.8138679621911</c:v>
                </c:pt>
                <c:pt idx="7">
                  <c:v>4731.7828459558887</c:v>
                </c:pt>
                <c:pt idx="8">
                  <c:v>5407.7518239495876</c:v>
                </c:pt>
                <c:pt idx="9">
                  <c:v>6083.7208019432865</c:v>
                </c:pt>
                <c:pt idx="10">
                  <c:v>6759.6897799369854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3-48C5-90AB-CD008988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4319"/>
        <c:axId val="233291919"/>
      </c:scatterChart>
      <c:valAx>
        <c:axId val="2332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1919"/>
        <c:crosses val="autoZero"/>
        <c:crossBetween val="midCat"/>
      </c:valAx>
      <c:valAx>
        <c:axId val="233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Simple Willans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23635998988499E-2"/>
          <c:y val="0.1715938006014342"/>
          <c:w val="0.82963939100635675"/>
          <c:h val="0.77751561415683557"/>
        </c:manualLayout>
      </c:layout>
      <c:scatterChart>
        <c:scatterStyle val="lineMarker"/>
        <c:varyColors val="0"/>
        <c:ser>
          <c:idx val="0"/>
          <c:order val="0"/>
          <c:tx>
            <c:strRef>
              <c:f>Flowsheet!$CM$133</c:f>
              <c:strCache>
                <c:ptCount val="1"/>
                <c:pt idx="0">
                  <c:v>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Flowsheet!$CK$135:$CK$153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36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44</c:v>
                </c:pt>
                <c:pt idx="11">
                  <c:v>46</c:v>
                </c:pt>
                <c:pt idx="12">
                  <c:v>48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</c:numCache>
            </c:numRef>
          </c:xVal>
          <c:yVal>
            <c:numRef>
              <c:f>Flowsheet!$CM$135:$CM$153</c:f>
              <c:numCache>
                <c:formatCode>General</c:formatCode>
                <c:ptCount val="19"/>
                <c:pt idx="0">
                  <c:v>-2000</c:v>
                </c:pt>
                <c:pt idx="1">
                  <c:v>-1500</c:v>
                </c:pt>
                <c:pt idx="2">
                  <c:v>-1000</c:v>
                </c:pt>
                <c:pt idx="3">
                  <c:v>-500</c:v>
                </c:pt>
                <c:pt idx="4">
                  <c:v>-400</c:v>
                </c:pt>
                <c:pt idx="5">
                  <c:v>-300</c:v>
                </c:pt>
                <c:pt idx="6">
                  <c:v>-200</c:v>
                </c:pt>
                <c:pt idx="7">
                  <c:v>-100</c:v>
                </c:pt>
                <c:pt idx="8">
                  <c:v>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1000</c:v>
                </c:pt>
                <c:pt idx="15">
                  <c:v>1500</c:v>
                </c:pt>
                <c:pt idx="16">
                  <c:v>2000</c:v>
                </c:pt>
                <c:pt idx="17">
                  <c:v>2500</c:v>
                </c:pt>
                <c:pt idx="1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F-4FEA-A742-7890958BBE6A}"/>
            </c:ext>
          </c:extLst>
        </c:ser>
        <c:ser>
          <c:idx val="1"/>
          <c:order val="1"/>
          <c:tx>
            <c:strRef>
              <c:f>Flowsheet!$CN$133</c:f>
              <c:strCache>
                <c:ptCount val="1"/>
                <c:pt idx="0">
                  <c:v>Relaxed simple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Flowsheet!$CK$135:$CK$153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36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44</c:v>
                </c:pt>
                <c:pt idx="11">
                  <c:v>46</c:v>
                </c:pt>
                <c:pt idx="12">
                  <c:v>48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</c:numCache>
            </c:numRef>
          </c:xVal>
          <c:yVal>
            <c:numRef>
              <c:f>Flowsheet!$CN$135:$CN$153</c:f>
              <c:numCache>
                <c:formatCode>0.00</c:formatCode>
                <c:ptCount val="19"/>
                <c:pt idx="0">
                  <c:v>1.2494183465605602E-10</c:v>
                </c:pt>
                <c:pt idx="1">
                  <c:v>1.666649040998891E-10</c:v>
                </c:pt>
                <c:pt idx="2">
                  <c:v>2.4999735614983365E-10</c:v>
                </c:pt>
                <c:pt idx="3">
                  <c:v>4.999947122996673E-10</c:v>
                </c:pt>
                <c:pt idx="4">
                  <c:v>6.2499339037458412E-10</c:v>
                </c:pt>
                <c:pt idx="5">
                  <c:v>8.333245204994455E-10</c:v>
                </c:pt>
                <c:pt idx="6">
                  <c:v>1.2500009916038834E-9</c:v>
                </c:pt>
                <c:pt idx="7">
                  <c:v>2.5000019832077669E-9</c:v>
                </c:pt>
                <c:pt idx="8">
                  <c:v>5.0000000000000001E-4</c:v>
                </c:pt>
                <c:pt idx="9">
                  <c:v>100.0000000025</c:v>
                </c:pt>
                <c:pt idx="10">
                  <c:v>200.00000000124999</c:v>
                </c:pt>
                <c:pt idx="11">
                  <c:v>300.00000000083332</c:v>
                </c:pt>
                <c:pt idx="12">
                  <c:v>400.00000000062499</c:v>
                </c:pt>
                <c:pt idx="13">
                  <c:v>500.00000000049999</c:v>
                </c:pt>
                <c:pt idx="14">
                  <c:v>1000.00000000025</c:v>
                </c:pt>
                <c:pt idx="15">
                  <c:v>1500.0000000001667</c:v>
                </c:pt>
                <c:pt idx="16">
                  <c:v>2000.0000000001251</c:v>
                </c:pt>
                <c:pt idx="17">
                  <c:v>2500.0000000001</c:v>
                </c:pt>
                <c:pt idx="18">
                  <c:v>3000.0000000000837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6F-4FEA-A742-7890958BB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4319"/>
        <c:axId val="233291919"/>
      </c:scatterChart>
      <c:valAx>
        <c:axId val="2332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1919"/>
        <c:crosses val="autoZero"/>
        <c:crossBetween val="midCat"/>
      </c:valAx>
      <c:valAx>
        <c:axId val="233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8026002563633032"/>
          <c:y val="0.72748036960334839"/>
          <c:w val="0.32627375066488784"/>
          <c:h val="0.15614266120968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310179</xdr:colOff>
      <xdr:row>10</xdr:row>
      <xdr:rowOff>82028</xdr:rowOff>
    </xdr:from>
    <xdr:to>
      <xdr:col>31</xdr:col>
      <xdr:colOff>313765</xdr:colOff>
      <xdr:row>28</xdr:row>
      <xdr:rowOff>153297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01F3618-25AD-4F1B-A2C1-7277350489F7}"/>
            </a:ext>
          </a:extLst>
        </xdr:cNvPr>
        <xdr:cNvCxnSpPr/>
      </xdr:nvCxnSpPr>
      <xdr:spPr>
        <a:xfrm flipH="1" flipV="1">
          <a:off x="20447150" y="1874969"/>
          <a:ext cx="3586" cy="3298563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313765</xdr:colOff>
      <xdr:row>32</xdr:row>
      <xdr:rowOff>54125</xdr:rowOff>
    </xdr:from>
    <xdr:to>
      <xdr:col>32</xdr:col>
      <xdr:colOff>313989</xdr:colOff>
      <xdr:row>33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EB5CC5D0-3E13-4E7A-BB4E-C7FE4DC3FAF2}"/>
            </a:ext>
          </a:extLst>
        </xdr:cNvPr>
        <xdr:cNvCxnSpPr/>
      </xdr:nvCxnSpPr>
      <xdr:spPr>
        <a:xfrm flipV="1">
          <a:off x="21055853" y="5791537"/>
          <a:ext cx="224" cy="23722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236220</xdr:colOff>
      <xdr:row>3</xdr:row>
      <xdr:rowOff>87630</xdr:rowOff>
    </xdr:from>
    <xdr:to>
      <xdr:col>15</xdr:col>
      <xdr:colOff>236220</xdr:colOff>
      <xdr:row>6</xdr:row>
      <xdr:rowOff>186690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69510F8-0A25-D352-0FCC-30ECB5724313}"/>
            </a:ext>
          </a:extLst>
        </xdr:cNvPr>
        <xdr:cNvCxnSpPr/>
      </xdr:nvCxnSpPr>
      <xdr:spPr>
        <a:xfrm flipH="1" flipV="1">
          <a:off x="14628495" y="649605"/>
          <a:ext cx="0" cy="661035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47633</xdr:colOff>
      <xdr:row>253</xdr:row>
      <xdr:rowOff>190499</xdr:rowOff>
    </xdr:from>
    <xdr:to>
      <xdr:col>72</xdr:col>
      <xdr:colOff>753912</xdr:colOff>
      <xdr:row>260</xdr:row>
      <xdr:rowOff>50291</xdr:rowOff>
    </xdr:to>
    <xdr:cxnSp macro="">
      <xdr:nvCxnSpPr>
        <xdr:cNvPr id="241" name="Connector: Elbow 240">
          <a:extLst>
            <a:ext uri="{FF2B5EF4-FFF2-40B4-BE49-F238E27FC236}">
              <a16:creationId xmlns:a16="http://schemas.microsoft.com/office/drawing/2014/main" id="{7380BB0D-B7DC-499E-BA23-ACE33430A6D4}"/>
            </a:ext>
          </a:extLst>
        </xdr:cNvPr>
        <xdr:cNvCxnSpPr/>
      </xdr:nvCxnSpPr>
      <xdr:spPr>
        <a:xfrm rot="5400000" flipH="1" flipV="1">
          <a:off x="43720330" y="46290927"/>
          <a:ext cx="1193292" cy="5480685"/>
        </a:xfrm>
        <a:prstGeom prst="bentConnector5">
          <a:avLst>
            <a:gd name="adj1" fmla="val -31417"/>
            <a:gd name="adj2" fmla="val 50000"/>
            <a:gd name="adj3" fmla="val 234638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75</xdr:row>
      <xdr:rowOff>0</xdr:rowOff>
    </xdr:from>
    <xdr:to>
      <xdr:col>34</xdr:col>
      <xdr:colOff>28475</xdr:colOff>
      <xdr:row>86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DD2D56C-05E2-4907-BE87-0BD181AF9FC5}"/>
            </a:ext>
          </a:extLst>
        </xdr:cNvPr>
        <xdr:cNvCxnSpPr>
          <a:cxnSpLocks/>
          <a:endCxn id="123" idx="0"/>
        </xdr:cNvCxnSpPr>
      </xdr:nvCxnSpPr>
      <xdr:spPr>
        <a:xfrm>
          <a:off x="20979765" y="13708380"/>
          <a:ext cx="18950" cy="201168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52387</xdr:colOff>
      <xdr:row>75</xdr:row>
      <xdr:rowOff>28576</xdr:rowOff>
    </xdr:from>
    <xdr:to>
      <xdr:col>17</xdr:col>
      <xdr:colOff>66675</xdr:colOff>
      <xdr:row>85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92F2631-C5F7-4E3B-BDB3-B16D2D541772}"/>
            </a:ext>
          </a:extLst>
        </xdr:cNvPr>
        <xdr:cNvCxnSpPr>
          <a:cxnSpLocks/>
          <a:stCxn id="115" idx="2"/>
        </xdr:cNvCxnSpPr>
      </xdr:nvCxnSpPr>
      <xdr:spPr>
        <a:xfrm>
          <a:off x="11387137" y="14292264"/>
          <a:ext cx="14288" cy="200024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147502</xdr:colOff>
      <xdr:row>42</xdr:row>
      <xdr:rowOff>169635</xdr:rowOff>
    </xdr:from>
    <xdr:to>
      <xdr:col>9</xdr:col>
      <xdr:colOff>307522</xdr:colOff>
      <xdr:row>64</xdr:row>
      <xdr:rowOff>137636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2FD2A03E-F131-4DB3-BB8E-96F46FECFFF7}"/>
            </a:ext>
          </a:extLst>
        </xdr:cNvPr>
        <xdr:cNvCxnSpPr/>
      </xdr:nvCxnSpPr>
      <xdr:spPr>
        <a:xfrm rot="5400000">
          <a:off x="3657271" y="9453846"/>
          <a:ext cx="3991361" cy="769620"/>
        </a:xfrm>
        <a:prstGeom prst="bentConnector4">
          <a:avLst>
            <a:gd name="adj1" fmla="val -3053"/>
            <a:gd name="adj2" fmla="val 285290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106680</xdr:colOff>
      <xdr:row>56</xdr:row>
      <xdr:rowOff>106679</xdr:rowOff>
    </xdr:from>
    <xdr:to>
      <xdr:col>10</xdr:col>
      <xdr:colOff>556260</xdr:colOff>
      <xdr:row>66</xdr:row>
      <xdr:rowOff>88328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A4048A4-8BAB-4DC3-8DF3-AAF45AD912B9}"/>
            </a:ext>
          </a:extLst>
        </xdr:cNvPr>
        <xdr:cNvGrpSpPr>
          <a:grpSpLocks noChangeAspect="1"/>
        </xdr:cNvGrpSpPr>
      </xdr:nvGrpSpPr>
      <xdr:grpSpPr>
        <a:xfrm>
          <a:off x="5674099" y="10134039"/>
          <a:ext cx="1882027" cy="1774590"/>
          <a:chOff x="3556000" y="4356100"/>
          <a:chExt cx="833882" cy="897636"/>
        </a:xfrm>
      </xdr:grpSpPr>
      <xdr:sp macro="" textlink="">
        <xdr:nvSpPr>
          <xdr:cNvPr id="6" name="Flowchart: Manual Input 5">
            <a:extLst>
              <a:ext uri="{FF2B5EF4-FFF2-40B4-BE49-F238E27FC236}">
                <a16:creationId xmlns:a16="http://schemas.microsoft.com/office/drawing/2014/main" id="{FF54D6B1-75D9-61EE-EDB3-C64BFBF6D251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FF4C922-969C-79A7-27B5-39CDAA9D74EC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616A32A1-7812-D095-708E-5B3E79C599FF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842304B4-FF70-7415-C72D-90A5EFAD9B28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DC262BE6-35BA-9EE3-AF73-BCCE18C2EC3E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B64C380-3518-856F-CF3A-F286E34EC617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8864556A-3FD4-E5F3-07B8-BD3394FA2E2A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44FA89CC-DCEE-17FF-4CD1-A4B42BA9A198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85B140DA-0E0C-23E4-1A6B-8613106FC547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3C27E4D0-F3A9-D066-6DC9-34269795911A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B8ECED00-DA94-87CF-2A19-F1D7A2A578E4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BC71F3F5-1616-2799-B3AE-E35F10ACF6C3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C4A22D2-C451-59AE-279D-926ADC73F5EE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7</xdr:col>
      <xdr:colOff>345620</xdr:colOff>
      <xdr:row>35</xdr:row>
      <xdr:rowOff>76200</xdr:rowOff>
    </xdr:from>
    <xdr:to>
      <xdr:col>11</xdr:col>
      <xdr:colOff>132847</xdr:colOff>
      <xdr:row>42</xdr:row>
      <xdr:rowOff>112486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8596449-54D4-4142-BF79-E68B3D10542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4855708" y="6410325"/>
          <a:ext cx="2362201" cy="1298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230982</xdr:colOff>
      <xdr:row>42</xdr:row>
      <xdr:rowOff>77787</xdr:rowOff>
    </xdr:from>
    <xdr:to>
      <xdr:col>10</xdr:col>
      <xdr:colOff>520542</xdr:colOff>
      <xdr:row>64</xdr:row>
      <xdr:rowOff>46675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DC277DED-60A7-4A54-9DF5-5EF7CC7FAE00}"/>
            </a:ext>
          </a:extLst>
        </xdr:cNvPr>
        <xdr:cNvCxnSpPr/>
      </xdr:nvCxnSpPr>
      <xdr:spPr>
        <a:xfrm rot="16200000" flipH="1">
          <a:off x="4414678" y="9297671"/>
          <a:ext cx="3992248" cy="899160"/>
        </a:xfrm>
        <a:prstGeom prst="bentConnector4">
          <a:avLst>
            <a:gd name="adj1" fmla="val 36679"/>
            <a:gd name="adj2" fmla="val 175546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535781</xdr:colOff>
      <xdr:row>30</xdr:row>
      <xdr:rowOff>166687</xdr:rowOff>
    </xdr:from>
    <xdr:to>
      <xdr:col>9</xdr:col>
      <xdr:colOff>544286</xdr:colOff>
      <xdr:row>35</xdr:row>
      <xdr:rowOff>108858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6C00D6F6-B3C8-440D-83ED-45FDA96AA84B}"/>
            </a:ext>
          </a:extLst>
        </xdr:cNvPr>
        <xdr:cNvCxnSpPr>
          <a:cxnSpLocks/>
        </xdr:cNvCxnSpPr>
      </xdr:nvCxnSpPr>
      <xdr:spPr>
        <a:xfrm flipH="1" flipV="1">
          <a:off x="6266021" y="5653087"/>
          <a:ext cx="8505" cy="856571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88900</xdr:colOff>
      <xdr:row>61</xdr:row>
      <xdr:rowOff>63500</xdr:rowOff>
    </xdr:from>
    <xdr:to>
      <xdr:col>8</xdr:col>
      <xdr:colOff>126999</xdr:colOff>
      <xdr:row>61</xdr:row>
      <xdr:rowOff>63500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6434A254-294E-4815-BECB-A9684170A015}"/>
            </a:ext>
          </a:extLst>
        </xdr:cNvPr>
        <xdr:cNvCxnSpPr>
          <a:cxnSpLocks/>
        </xdr:cNvCxnSpPr>
      </xdr:nvCxnSpPr>
      <xdr:spPr>
        <a:xfrm>
          <a:off x="3136900" y="11211560"/>
          <a:ext cx="211073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584200</xdr:colOff>
      <xdr:row>65</xdr:row>
      <xdr:rowOff>101600</xdr:rowOff>
    </xdr:from>
    <xdr:to>
      <xdr:col>8</xdr:col>
      <xdr:colOff>88900</xdr:colOff>
      <xdr:row>65</xdr:row>
      <xdr:rowOff>101600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3146E330-3B5D-4844-AB6D-910A081D175D}"/>
            </a:ext>
          </a:extLst>
        </xdr:cNvPr>
        <xdr:cNvCxnSpPr>
          <a:cxnSpLocks/>
        </xdr:cNvCxnSpPr>
      </xdr:nvCxnSpPr>
      <xdr:spPr>
        <a:xfrm>
          <a:off x="3022600" y="11981180"/>
          <a:ext cx="2186940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79</xdr:row>
      <xdr:rowOff>63500</xdr:rowOff>
    </xdr:from>
    <xdr:to>
      <xdr:col>47</xdr:col>
      <xdr:colOff>330200</xdr:colOff>
      <xdr:row>80</xdr:row>
      <xdr:rowOff>63500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37FCC4B8-73C5-4956-B2D1-F499997ADE33}"/>
            </a:ext>
          </a:extLst>
        </xdr:cNvPr>
        <xdr:cNvSpPr/>
      </xdr:nvSpPr>
      <xdr:spPr>
        <a:xfrm>
          <a:off x="2443370" y="14775484"/>
          <a:ext cx="26875960" cy="186358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121556</xdr:colOff>
      <xdr:row>66</xdr:row>
      <xdr:rowOff>110100</xdr:rowOff>
    </xdr:from>
    <xdr:to>
      <xdr:col>9</xdr:col>
      <xdr:colOff>135526</xdr:colOff>
      <xdr:row>79</xdr:row>
      <xdr:rowOff>85272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941895F3-0876-410A-BD7D-D82E17886330}"/>
            </a:ext>
          </a:extLst>
        </xdr:cNvPr>
        <xdr:cNvCxnSpPr>
          <a:cxnSpLocks/>
        </xdr:cNvCxnSpPr>
      </xdr:nvCxnSpPr>
      <xdr:spPr>
        <a:xfrm flipH="1">
          <a:off x="5851796" y="12172560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106680</xdr:colOff>
      <xdr:row>56</xdr:row>
      <xdr:rowOff>106679</xdr:rowOff>
    </xdr:from>
    <xdr:to>
      <xdr:col>27</xdr:col>
      <xdr:colOff>556260</xdr:colOff>
      <xdr:row>66</xdr:row>
      <xdr:rowOff>88328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765E9DD5-C51F-4319-98B3-471576F40E26}"/>
            </a:ext>
          </a:extLst>
        </xdr:cNvPr>
        <xdr:cNvGrpSpPr>
          <a:grpSpLocks noChangeAspect="1"/>
        </xdr:cNvGrpSpPr>
      </xdr:nvGrpSpPr>
      <xdr:grpSpPr>
        <a:xfrm>
          <a:off x="18202275" y="10134039"/>
          <a:ext cx="1994087" cy="1774590"/>
          <a:chOff x="3556000" y="4356100"/>
          <a:chExt cx="833882" cy="897636"/>
        </a:xfrm>
      </xdr:grpSpPr>
      <xdr:sp macro="" textlink="">
        <xdr:nvSpPr>
          <xdr:cNvPr id="27" name="Flowchart: Manual Input 26">
            <a:extLst>
              <a:ext uri="{FF2B5EF4-FFF2-40B4-BE49-F238E27FC236}">
                <a16:creationId xmlns:a16="http://schemas.microsoft.com/office/drawing/2014/main" id="{BD3BA6F3-A79E-ACFC-E64D-B304E507EE1A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29137522-B432-7248-B6A7-6467C7FB7A82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D4BAA19E-6DE3-5A1A-8F05-8FBDDB2AA3D7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8E7A4A87-2C1B-0D05-A0EB-9CCFE9F86432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2A72B11A-CB4B-3957-76D3-039893DDE4ED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5D9E9A74-8B6D-DB2C-1224-668538DC8E1D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52290B94-954A-6FA2-EDD2-8C40EC57357D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1B1C829B-39D5-0DD9-91AC-15E91D9638DD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2CAB76E4-2F9E-332A-8224-170BB2ABDB96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CA85CFC-46C6-EFA0-A0DD-AAB42D65C5F7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B9252F3D-BD68-9ABC-2265-B156DA14C492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FE23C48F-110C-9226-3E97-4FD7EC9A287C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9141C83-435F-4D4C-77E8-850F2B8A0BB5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24</xdr:col>
      <xdr:colOff>304799</xdr:colOff>
      <xdr:row>35</xdr:row>
      <xdr:rowOff>76200</xdr:rowOff>
    </xdr:from>
    <xdr:ext cx="2362201" cy="1270000"/>
    <xdr:pic>
      <xdr:nvPicPr>
        <xdr:cNvPr id="40" name="Picture 39">
          <a:extLst>
            <a:ext uri="{FF2B5EF4-FFF2-40B4-BE49-F238E27FC236}">
              <a16:creationId xmlns:a16="http://schemas.microsoft.com/office/drawing/2014/main" id="{B73F1EB6-1A07-4BC1-8106-C48A40A2BD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15179039" y="6477000"/>
          <a:ext cx="2362201" cy="1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266700</xdr:colOff>
      <xdr:row>42</xdr:row>
      <xdr:rowOff>101600</xdr:rowOff>
    </xdr:from>
    <xdr:to>
      <xdr:col>27</xdr:col>
      <xdr:colOff>556260</xdr:colOff>
      <xdr:row>64</xdr:row>
      <xdr:rowOff>70488</xdr:rowOff>
    </xdr:to>
    <xdr:cxnSp macro="">
      <xdr:nvCxnSpPr>
        <xdr:cNvPr id="41" name="Connector: Elbow 40">
          <a:extLst>
            <a:ext uri="{FF2B5EF4-FFF2-40B4-BE49-F238E27FC236}">
              <a16:creationId xmlns:a16="http://schemas.microsoft.com/office/drawing/2014/main" id="{13A1AC17-E402-4A9C-B261-10C2CE54F48C}"/>
            </a:ext>
          </a:extLst>
        </xdr:cNvPr>
        <xdr:cNvCxnSpPr>
          <a:stCxn id="40" idx="2"/>
          <a:endCxn id="29" idx="3"/>
        </xdr:cNvCxnSpPr>
      </xdr:nvCxnSpPr>
      <xdr:spPr>
        <a:xfrm rot="16200000" flipH="1">
          <a:off x="14813596" y="9321484"/>
          <a:ext cx="3992248" cy="899160"/>
        </a:xfrm>
        <a:prstGeom prst="bentConnector4">
          <a:avLst>
            <a:gd name="adj1" fmla="val 45188"/>
            <a:gd name="adj2" fmla="val 194916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523877</xdr:colOff>
      <xdr:row>29</xdr:row>
      <xdr:rowOff>4534</xdr:rowOff>
    </xdr:from>
    <xdr:to>
      <xdr:col>24</xdr:col>
      <xdr:colOff>304800</xdr:colOff>
      <xdr:row>38</xdr:row>
      <xdr:rowOff>139699</xdr:rowOff>
    </xdr:to>
    <xdr:cxnSp macro="">
      <xdr:nvCxnSpPr>
        <xdr:cNvPr id="42" name="Connector: Elbow 41">
          <a:extLst>
            <a:ext uri="{FF2B5EF4-FFF2-40B4-BE49-F238E27FC236}">
              <a16:creationId xmlns:a16="http://schemas.microsoft.com/office/drawing/2014/main" id="{4D746033-C79B-4F47-9F46-82D06A83125E}"/>
            </a:ext>
          </a:extLst>
        </xdr:cNvPr>
        <xdr:cNvCxnSpPr>
          <a:stCxn id="143" idx="3"/>
          <a:endCxn id="40" idx="1"/>
        </xdr:cNvCxnSpPr>
      </xdr:nvCxnSpPr>
      <xdr:spPr>
        <a:xfrm rot="16200000" flipH="1">
          <a:off x="12569236" y="4479335"/>
          <a:ext cx="1781085" cy="3438523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523875</xdr:colOff>
      <xdr:row>31</xdr:row>
      <xdr:rowOff>0</xdr:rowOff>
    </xdr:from>
    <xdr:to>
      <xdr:col>26</xdr:col>
      <xdr:colOff>537368</xdr:colOff>
      <xdr:row>35</xdr:row>
      <xdr:rowOff>88900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38CD40D4-C588-4536-A7EF-99CBB3DF23BA}"/>
            </a:ext>
          </a:extLst>
        </xdr:cNvPr>
        <xdr:cNvCxnSpPr>
          <a:cxnSpLocks/>
        </xdr:cNvCxnSpPr>
      </xdr:nvCxnSpPr>
      <xdr:spPr>
        <a:xfrm flipH="1" flipV="1">
          <a:off x="16617315" y="5669280"/>
          <a:ext cx="13493" cy="82042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190500</xdr:colOff>
      <xdr:row>38</xdr:row>
      <xdr:rowOff>114300</xdr:rowOff>
    </xdr:from>
    <xdr:to>
      <xdr:col>29</xdr:col>
      <xdr:colOff>583406</xdr:colOff>
      <xdr:row>38</xdr:row>
      <xdr:rowOff>119062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97E91E2-336B-436A-831B-BD7DAAAD477E}"/>
            </a:ext>
          </a:extLst>
        </xdr:cNvPr>
        <xdr:cNvCxnSpPr>
          <a:cxnSpLocks/>
        </xdr:cNvCxnSpPr>
      </xdr:nvCxnSpPr>
      <xdr:spPr>
        <a:xfrm flipH="1" flipV="1">
          <a:off x="17503140" y="7063740"/>
          <a:ext cx="1002506" cy="476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88900</xdr:colOff>
      <xdr:row>61</xdr:row>
      <xdr:rowOff>63500</xdr:rowOff>
    </xdr:from>
    <xdr:to>
      <xdr:col>25</xdr:col>
      <xdr:colOff>126999</xdr:colOff>
      <xdr:row>61</xdr:row>
      <xdr:rowOff>63500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43FEC6AA-F71C-4086-A134-91BCC05625CF}"/>
            </a:ext>
          </a:extLst>
        </xdr:cNvPr>
        <xdr:cNvCxnSpPr>
          <a:cxnSpLocks/>
        </xdr:cNvCxnSpPr>
      </xdr:nvCxnSpPr>
      <xdr:spPr>
        <a:xfrm>
          <a:off x="13743940" y="11211560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106680</xdr:colOff>
      <xdr:row>56</xdr:row>
      <xdr:rowOff>106679</xdr:rowOff>
    </xdr:from>
    <xdr:to>
      <xdr:col>44</xdr:col>
      <xdr:colOff>556260</xdr:colOff>
      <xdr:row>66</xdr:row>
      <xdr:rowOff>88328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4AB2B178-4FC5-49D6-AF03-49E0F1E2E6AD}"/>
            </a:ext>
          </a:extLst>
        </xdr:cNvPr>
        <xdr:cNvGrpSpPr>
          <a:grpSpLocks noChangeAspect="1"/>
        </xdr:cNvGrpSpPr>
      </xdr:nvGrpSpPr>
      <xdr:grpSpPr>
        <a:xfrm>
          <a:off x="30551157" y="10134039"/>
          <a:ext cx="1725146" cy="1774590"/>
          <a:chOff x="3556000" y="4356100"/>
          <a:chExt cx="833882" cy="897636"/>
        </a:xfrm>
      </xdr:grpSpPr>
      <xdr:sp macro="" textlink="">
        <xdr:nvSpPr>
          <xdr:cNvPr id="47" name="Flowchart: Manual Input 46">
            <a:extLst>
              <a:ext uri="{FF2B5EF4-FFF2-40B4-BE49-F238E27FC236}">
                <a16:creationId xmlns:a16="http://schemas.microsoft.com/office/drawing/2014/main" id="{7497E0D2-66FD-B5A6-BEA3-7785F5924795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DF80A8BF-E092-9DBA-92BC-1E9BC60857B6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60E9DEF8-0A0B-C7A9-4E79-25D26D480D0B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9F5B413E-5F1E-F8EE-3C7D-0A6322B6AE42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A2444A0B-B71B-81E2-9FE9-26A10617800B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25EAD1A7-8F89-6319-C143-76525E53BC6E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C2F84F6-6A55-A48E-143F-FDD0727BF712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C888940-D071-5750-06A4-B2E6812DAA93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814196A7-58D6-85ED-E771-E3CA72CD6BE0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88DCA83B-7257-443A-BCD2-1513643423BF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B6D0949E-1392-9E6A-F33C-05B1D0F3FB30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A9AEA87E-0213-ACA6-2E90-E1A8DF2D9BCF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C69ECF08-A865-DF2F-9D47-8C1C26C0C1DC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48</xdr:col>
      <xdr:colOff>304799</xdr:colOff>
      <xdr:row>35</xdr:row>
      <xdr:rowOff>76200</xdr:rowOff>
    </xdr:from>
    <xdr:ext cx="2362201" cy="1270000"/>
    <xdr:pic>
      <xdr:nvPicPr>
        <xdr:cNvPr id="60" name="Picture 59">
          <a:extLst>
            <a:ext uri="{FF2B5EF4-FFF2-40B4-BE49-F238E27FC236}">
              <a16:creationId xmlns:a16="http://schemas.microsoft.com/office/drawing/2014/main" id="{6C63B818-3A0C-43AF-B827-6B8165CF6A2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29809439" y="6477000"/>
          <a:ext cx="2362201" cy="1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44</xdr:col>
      <xdr:colOff>556260</xdr:colOff>
      <xdr:row>42</xdr:row>
      <xdr:rowOff>101600</xdr:rowOff>
    </xdr:from>
    <xdr:to>
      <xdr:col>50</xdr:col>
      <xdr:colOff>266700</xdr:colOff>
      <xdr:row>64</xdr:row>
      <xdr:rowOff>70488</xdr:rowOff>
    </xdr:to>
    <xdr:cxnSp macro="">
      <xdr:nvCxnSpPr>
        <xdr:cNvPr id="61" name="Connector: Elbow 60">
          <a:extLst>
            <a:ext uri="{FF2B5EF4-FFF2-40B4-BE49-F238E27FC236}">
              <a16:creationId xmlns:a16="http://schemas.microsoft.com/office/drawing/2014/main" id="{52F65751-5462-483C-8476-AEEEC17A7395}"/>
            </a:ext>
          </a:extLst>
        </xdr:cNvPr>
        <xdr:cNvCxnSpPr>
          <a:stCxn id="60" idx="2"/>
          <a:endCxn id="49" idx="3"/>
        </xdr:cNvCxnSpPr>
      </xdr:nvCxnSpPr>
      <xdr:spPr>
        <a:xfrm rot="5400000">
          <a:off x="27310396" y="8087044"/>
          <a:ext cx="3992248" cy="3368040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460376</xdr:colOff>
      <xdr:row>25</xdr:row>
      <xdr:rowOff>131535</xdr:rowOff>
    </xdr:from>
    <xdr:to>
      <xdr:col>48</xdr:col>
      <xdr:colOff>367393</xdr:colOff>
      <xdr:row>40</xdr:row>
      <xdr:rowOff>163286</xdr:rowOff>
    </xdr:to>
    <xdr:cxnSp macro="">
      <xdr:nvCxnSpPr>
        <xdr:cNvPr id="62" name="Connector: Elbow 61">
          <a:extLst>
            <a:ext uri="{FF2B5EF4-FFF2-40B4-BE49-F238E27FC236}">
              <a16:creationId xmlns:a16="http://schemas.microsoft.com/office/drawing/2014/main" id="{0635E8C2-1A23-482B-92F0-35E3FAFFE10A}"/>
            </a:ext>
          </a:extLst>
        </xdr:cNvPr>
        <xdr:cNvCxnSpPr>
          <a:stCxn id="143" idx="4"/>
        </xdr:cNvCxnSpPr>
      </xdr:nvCxnSpPr>
      <xdr:spPr>
        <a:xfrm>
          <a:off x="12286616" y="4703535"/>
          <a:ext cx="17585417" cy="2774951"/>
        </a:xfrm>
        <a:prstGeom prst="bentConnector3">
          <a:avLst>
            <a:gd name="adj1" fmla="val 46303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564242</xdr:colOff>
      <xdr:row>31</xdr:row>
      <xdr:rowOff>165100</xdr:rowOff>
    </xdr:from>
    <xdr:to>
      <xdr:col>50</xdr:col>
      <xdr:colOff>576942</xdr:colOff>
      <xdr:row>35</xdr:row>
      <xdr:rowOff>88900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C87923E-4EAC-4CB9-82CE-A02B694B4DFA}"/>
            </a:ext>
          </a:extLst>
        </xdr:cNvPr>
        <xdr:cNvCxnSpPr>
          <a:cxnSpLocks/>
        </xdr:cNvCxnSpPr>
      </xdr:nvCxnSpPr>
      <xdr:spPr>
        <a:xfrm flipV="1">
          <a:off x="31288082" y="5834380"/>
          <a:ext cx="12700" cy="65532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88900</xdr:colOff>
      <xdr:row>66</xdr:row>
      <xdr:rowOff>120986</xdr:rowOff>
    </xdr:from>
    <xdr:to>
      <xdr:col>26</xdr:col>
      <xdr:colOff>102870</xdr:colOff>
      <xdr:row>79</xdr:row>
      <xdr:rowOff>96158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D2739F1A-7FF3-426A-A95E-D656FC829B80}"/>
            </a:ext>
          </a:extLst>
        </xdr:cNvPr>
        <xdr:cNvCxnSpPr>
          <a:cxnSpLocks/>
        </xdr:cNvCxnSpPr>
      </xdr:nvCxnSpPr>
      <xdr:spPr>
        <a:xfrm flipH="1">
          <a:off x="16182340" y="12183446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23586</xdr:colOff>
      <xdr:row>66</xdr:row>
      <xdr:rowOff>66557</xdr:rowOff>
    </xdr:from>
    <xdr:to>
      <xdr:col>43</xdr:col>
      <xdr:colOff>37556</xdr:colOff>
      <xdr:row>79</xdr:row>
      <xdr:rowOff>41729</xdr:rowOff>
    </xdr:to>
    <xdr:cxnSp macro="">
      <xdr:nvCxnSpPr>
        <xdr:cNvPr id="65" name="Straight Arrow Connector 64">
          <a:extLst>
            <a:ext uri="{FF2B5EF4-FFF2-40B4-BE49-F238E27FC236}">
              <a16:creationId xmlns:a16="http://schemas.microsoft.com/office/drawing/2014/main" id="{57F2E214-CD6D-4B06-8A58-EC7B0D15811C}"/>
            </a:ext>
          </a:extLst>
        </xdr:cNvPr>
        <xdr:cNvCxnSpPr>
          <a:cxnSpLocks/>
        </xdr:cNvCxnSpPr>
      </xdr:nvCxnSpPr>
      <xdr:spPr>
        <a:xfrm flipH="1">
          <a:off x="26480226" y="12129017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95</xdr:row>
      <xdr:rowOff>139700</xdr:rowOff>
    </xdr:from>
    <xdr:to>
      <xdr:col>11</xdr:col>
      <xdr:colOff>139700</xdr:colOff>
      <xdr:row>105</xdr:row>
      <xdr:rowOff>63500</xdr:rowOff>
    </xdr:to>
    <xdr:sp macro="" textlink="">
      <xdr:nvSpPr>
        <xdr:cNvPr id="66" name="Flowchart: Manual Operation 65">
          <a:extLst>
            <a:ext uri="{FF2B5EF4-FFF2-40B4-BE49-F238E27FC236}">
              <a16:creationId xmlns:a16="http://schemas.microsoft.com/office/drawing/2014/main" id="{5301A8DC-BD75-4E3B-8570-30127A88C4D0}"/>
            </a:ext>
          </a:extLst>
        </xdr:cNvPr>
        <xdr:cNvSpPr/>
      </xdr:nvSpPr>
      <xdr:spPr>
        <a:xfrm rot="5400000">
          <a:off x="4926693" y="17913350"/>
          <a:ext cx="1828800" cy="2449286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139701</xdr:colOff>
      <xdr:row>80</xdr:row>
      <xdr:rowOff>108856</xdr:rowOff>
    </xdr:from>
    <xdr:to>
      <xdr:col>11</xdr:col>
      <xdr:colOff>533401</xdr:colOff>
      <xdr:row>100</xdr:row>
      <xdr:rowOff>101600</xdr:rowOff>
    </xdr:to>
    <xdr:cxnSp macro="">
      <xdr:nvCxnSpPr>
        <xdr:cNvPr id="67" name="Connector: Elbow 66">
          <a:extLst>
            <a:ext uri="{FF2B5EF4-FFF2-40B4-BE49-F238E27FC236}">
              <a16:creationId xmlns:a16="http://schemas.microsoft.com/office/drawing/2014/main" id="{86F7D773-6237-4977-8652-6E8F8FBAFC4B}"/>
            </a:ext>
          </a:extLst>
        </xdr:cNvPr>
        <xdr:cNvCxnSpPr>
          <a:endCxn id="66" idx="2"/>
        </xdr:cNvCxnSpPr>
      </xdr:nvCxnSpPr>
      <xdr:spPr>
        <a:xfrm rot="5400000">
          <a:off x="4136572" y="15815128"/>
          <a:ext cx="3802744" cy="2842986"/>
        </a:xfrm>
        <a:prstGeom prst="bentConnector4">
          <a:avLst>
            <a:gd name="adj1" fmla="val 33497"/>
            <a:gd name="adj2" fmla="val 127291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607788</xdr:colOff>
      <xdr:row>92</xdr:row>
      <xdr:rowOff>45356</xdr:rowOff>
    </xdr:from>
    <xdr:to>
      <xdr:col>69</xdr:col>
      <xdr:colOff>555175</xdr:colOff>
      <xdr:row>93</xdr:row>
      <xdr:rowOff>76200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16250DC3-E977-4C0E-8BB8-E872E005E030}"/>
            </a:ext>
          </a:extLst>
        </xdr:cNvPr>
        <xdr:cNvSpPr/>
      </xdr:nvSpPr>
      <xdr:spPr>
        <a:xfrm>
          <a:off x="25235628" y="16862696"/>
          <a:ext cx="18006787" cy="213724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60</xdr:col>
      <xdr:colOff>130628</xdr:colOff>
      <xdr:row>69</xdr:row>
      <xdr:rowOff>76201</xdr:rowOff>
    </xdr:from>
    <xdr:to>
      <xdr:col>62</xdr:col>
      <xdr:colOff>580208</xdr:colOff>
      <xdr:row>79</xdr:row>
      <xdr:rowOff>57850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3537DA03-3117-49E6-AA5F-17F23F50E0D9}"/>
            </a:ext>
          </a:extLst>
        </xdr:cNvPr>
        <xdr:cNvGrpSpPr>
          <a:grpSpLocks noChangeAspect="1"/>
        </xdr:cNvGrpSpPr>
      </xdr:nvGrpSpPr>
      <xdr:grpSpPr>
        <a:xfrm>
          <a:off x="43209850" y="12436289"/>
          <a:ext cx="1725145" cy="1774590"/>
          <a:chOff x="3556000" y="4356100"/>
          <a:chExt cx="833882" cy="897636"/>
        </a:xfrm>
      </xdr:grpSpPr>
      <xdr:sp macro="" textlink="">
        <xdr:nvSpPr>
          <xdr:cNvPr id="70" name="Flowchart: Manual Input 69">
            <a:extLst>
              <a:ext uri="{FF2B5EF4-FFF2-40B4-BE49-F238E27FC236}">
                <a16:creationId xmlns:a16="http://schemas.microsoft.com/office/drawing/2014/main" id="{1BF9BCAB-3300-7272-AE5E-DFE01E01F75F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id="{420E8660-08C8-D83D-BFCD-E95A9A03F12E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A03A2AD1-76A6-45B4-30D7-A1BA5FE58C26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D28B407-16DB-BDB4-C3F0-27A0353B62E9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A751983F-7D56-6E46-6135-33CA16C3BAB9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43F2FFA6-AB62-5F04-0E15-F636CF83CB38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31E8FAC-A9A9-BE38-C837-D6265FF8874B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Connector 76">
            <a:extLst>
              <a:ext uri="{FF2B5EF4-FFF2-40B4-BE49-F238E27FC236}">
                <a16:creationId xmlns:a16="http://schemas.microsoft.com/office/drawing/2014/main" id="{88F20FCB-BF12-9B27-D826-E59AE43E923D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8169E76F-AE66-F711-64F5-F5987BFC03BB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BE0AC1E9-B1FA-EB41-53A2-2C452F8A0EB4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7D3B5373-8F46-A2C6-A539-3293715FA7F4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51DADE01-7D06-BB93-3413-CA011032BA49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2569D3DE-EC85-AF89-F18F-24F495D083AE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341448</xdr:colOff>
      <xdr:row>79</xdr:row>
      <xdr:rowOff>57850</xdr:rowOff>
    </xdr:from>
    <xdr:to>
      <xdr:col>61</xdr:col>
      <xdr:colOff>355418</xdr:colOff>
      <xdr:row>92</xdr:row>
      <xdr:rowOff>33022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AC39348D-3BE2-424F-BE38-3FDAB7A08B90}"/>
            </a:ext>
          </a:extLst>
        </xdr:cNvPr>
        <xdr:cNvCxnSpPr>
          <a:cxnSpLocks/>
        </xdr:cNvCxnSpPr>
      </xdr:nvCxnSpPr>
      <xdr:spPr>
        <a:xfrm flipH="1">
          <a:off x="38075688" y="14497750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283028</xdr:colOff>
      <xdr:row>47</xdr:row>
      <xdr:rowOff>43543</xdr:rowOff>
    </xdr:from>
    <xdr:to>
      <xdr:col>62</xdr:col>
      <xdr:colOff>580208</xdr:colOff>
      <xdr:row>77</xdr:row>
      <xdr:rowOff>38458</xdr:rowOff>
    </xdr:to>
    <xdr:cxnSp macro="">
      <xdr:nvCxnSpPr>
        <xdr:cNvPr id="84" name="Connector: Elbow 83">
          <a:extLst>
            <a:ext uri="{FF2B5EF4-FFF2-40B4-BE49-F238E27FC236}">
              <a16:creationId xmlns:a16="http://schemas.microsoft.com/office/drawing/2014/main" id="{DF1710E4-F5BC-447C-8C00-F30C25600771}"/>
            </a:ext>
          </a:extLst>
        </xdr:cNvPr>
        <xdr:cNvCxnSpPr>
          <a:endCxn id="72" idx="3"/>
        </xdr:cNvCxnSpPr>
      </xdr:nvCxnSpPr>
      <xdr:spPr>
        <a:xfrm>
          <a:off x="31006868" y="8631283"/>
          <a:ext cx="7917180" cy="5481315"/>
        </a:xfrm>
        <a:prstGeom prst="bentConnector3">
          <a:avLst>
            <a:gd name="adj1" fmla="val 124024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</xdr:colOff>
      <xdr:row>119</xdr:row>
      <xdr:rowOff>73479</xdr:rowOff>
    </xdr:from>
    <xdr:to>
      <xdr:col>47</xdr:col>
      <xdr:colOff>318407</xdr:colOff>
      <xdr:row>120</xdr:row>
      <xdr:rowOff>47625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DBD4EE68-B7B2-4902-824A-9C348D7E60B3}"/>
            </a:ext>
          </a:extLst>
        </xdr:cNvPr>
        <xdr:cNvSpPr/>
      </xdr:nvSpPr>
      <xdr:spPr>
        <a:xfrm>
          <a:off x="2462212" y="21828579"/>
          <a:ext cx="26751235" cy="157026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35719</xdr:colOff>
      <xdr:row>151</xdr:row>
      <xdr:rowOff>50800</xdr:rowOff>
    </xdr:from>
    <xdr:to>
      <xdr:col>47</xdr:col>
      <xdr:colOff>292100</xdr:colOff>
      <xdr:row>152</xdr:row>
      <xdr:rowOff>47625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61E3645E-AF9C-44D2-AC51-90147F9AF347}"/>
            </a:ext>
          </a:extLst>
        </xdr:cNvPr>
        <xdr:cNvSpPr/>
      </xdr:nvSpPr>
      <xdr:spPr>
        <a:xfrm>
          <a:off x="2474119" y="27658060"/>
          <a:ext cx="26713021" cy="179705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27216</xdr:colOff>
      <xdr:row>103</xdr:row>
      <xdr:rowOff>152400</xdr:rowOff>
    </xdr:from>
    <xdr:to>
      <xdr:col>8</xdr:col>
      <xdr:colOff>41186</xdr:colOff>
      <xdr:row>119</xdr:row>
      <xdr:rowOff>63500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2FDB7FB5-917A-4AEA-B7C7-C0B54FB794E1}"/>
            </a:ext>
          </a:extLst>
        </xdr:cNvPr>
        <xdr:cNvCxnSpPr>
          <a:cxnSpLocks/>
        </xdr:cNvCxnSpPr>
      </xdr:nvCxnSpPr>
      <xdr:spPr>
        <a:xfrm flipH="1">
          <a:off x="5147856" y="18981420"/>
          <a:ext cx="13970" cy="283718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317500</xdr:colOff>
      <xdr:row>104</xdr:row>
      <xdr:rowOff>165100</xdr:rowOff>
    </xdr:from>
    <xdr:to>
      <xdr:col>10</xdr:col>
      <xdr:colOff>342900</xdr:colOff>
      <xdr:row>151</xdr:row>
      <xdr:rowOff>63500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CD9BBF03-0380-44AC-89DC-0DABC8A3D701}"/>
            </a:ext>
          </a:extLst>
        </xdr:cNvPr>
        <xdr:cNvCxnSpPr>
          <a:cxnSpLocks/>
        </xdr:cNvCxnSpPr>
      </xdr:nvCxnSpPr>
      <xdr:spPr>
        <a:xfrm flipH="1">
          <a:off x="6657340" y="19177000"/>
          <a:ext cx="25400" cy="849376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139700</xdr:colOff>
      <xdr:row>100</xdr:row>
      <xdr:rowOff>87085</xdr:rowOff>
    </xdr:from>
    <xdr:to>
      <xdr:col>13</xdr:col>
      <xdr:colOff>555171</xdr:colOff>
      <xdr:row>100</xdr:row>
      <xdr:rowOff>101601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93F69354-33A8-4166-8722-8313126E8577}"/>
            </a:ext>
          </a:extLst>
        </xdr:cNvPr>
        <xdr:cNvCxnSpPr>
          <a:cxnSpLocks/>
          <a:stCxn id="66" idx="0"/>
        </xdr:cNvCxnSpPr>
      </xdr:nvCxnSpPr>
      <xdr:spPr>
        <a:xfrm flipV="1">
          <a:off x="7065736" y="19123478"/>
          <a:ext cx="1640114" cy="14516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21771</xdr:colOff>
      <xdr:row>109</xdr:row>
      <xdr:rowOff>93682</xdr:rowOff>
    </xdr:from>
    <xdr:to>
      <xdr:col>8</xdr:col>
      <xdr:colOff>9896</xdr:colOff>
      <xdr:row>109</xdr:row>
      <xdr:rowOff>97970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D886177D-873B-402A-920B-0EEB1297D43E}"/>
            </a:ext>
          </a:extLst>
        </xdr:cNvPr>
        <xdr:cNvCxnSpPr>
          <a:cxnSpLocks/>
        </xdr:cNvCxnSpPr>
      </xdr:nvCxnSpPr>
      <xdr:spPr>
        <a:xfrm flipV="1">
          <a:off x="3923211" y="20019982"/>
          <a:ext cx="1207325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27213</xdr:colOff>
      <xdr:row>93</xdr:row>
      <xdr:rowOff>97971</xdr:rowOff>
    </xdr:from>
    <xdr:to>
      <xdr:col>43</xdr:col>
      <xdr:colOff>46604</xdr:colOff>
      <xdr:row>119</xdr:row>
      <xdr:rowOff>87086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D5C5A11B-7246-43AB-995D-A434AD9D7CDA}"/>
            </a:ext>
          </a:extLst>
        </xdr:cNvPr>
        <xdr:cNvCxnSpPr>
          <a:cxnSpLocks/>
        </xdr:cNvCxnSpPr>
      </xdr:nvCxnSpPr>
      <xdr:spPr>
        <a:xfrm>
          <a:off x="26483853" y="17098191"/>
          <a:ext cx="19391" cy="474399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482031</xdr:colOff>
      <xdr:row>107</xdr:row>
      <xdr:rowOff>43541</xdr:rowOff>
    </xdr:from>
    <xdr:to>
      <xdr:col>43</xdr:col>
      <xdr:colOff>218795</xdr:colOff>
      <xdr:row>109</xdr:row>
      <xdr:rowOff>56736</xdr:rowOff>
    </xdr:to>
    <xdr:sp macro="" textlink="">
      <xdr:nvSpPr>
        <xdr:cNvPr id="96" name="Flowchart: Collate 95">
          <a:extLst>
            <a:ext uri="{FF2B5EF4-FFF2-40B4-BE49-F238E27FC236}">
              <a16:creationId xmlns:a16="http://schemas.microsoft.com/office/drawing/2014/main" id="{D36BA529-2ABA-49B9-91A8-6562BD347320}"/>
            </a:ext>
          </a:extLst>
        </xdr:cNvPr>
        <xdr:cNvSpPr/>
      </xdr:nvSpPr>
      <xdr:spPr>
        <a:xfrm>
          <a:off x="26329071" y="19604081"/>
          <a:ext cx="346364" cy="378955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5439</xdr:colOff>
      <xdr:row>108</xdr:row>
      <xdr:rowOff>50139</xdr:rowOff>
    </xdr:from>
    <xdr:to>
      <xdr:col>42</xdr:col>
      <xdr:colOff>600783</xdr:colOff>
      <xdr:row>108</xdr:row>
      <xdr:rowOff>54427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D18D2D0E-6D0B-43BD-B5C1-F1078D230A0D}"/>
            </a:ext>
          </a:extLst>
        </xdr:cNvPr>
        <xdr:cNvCxnSpPr>
          <a:cxnSpLocks/>
        </xdr:cNvCxnSpPr>
      </xdr:nvCxnSpPr>
      <xdr:spPr>
        <a:xfrm flipV="1">
          <a:off x="25242879" y="19793559"/>
          <a:ext cx="1204944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261258</xdr:colOff>
      <xdr:row>140</xdr:row>
      <xdr:rowOff>115453</xdr:rowOff>
    </xdr:from>
    <xdr:to>
      <xdr:col>10</xdr:col>
      <xdr:colOff>249383</xdr:colOff>
      <xdr:row>140</xdr:row>
      <xdr:rowOff>119741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09F0FF08-C6BB-445C-B54A-8D63EF721758}"/>
            </a:ext>
          </a:extLst>
        </xdr:cNvPr>
        <xdr:cNvCxnSpPr>
          <a:cxnSpLocks/>
        </xdr:cNvCxnSpPr>
      </xdr:nvCxnSpPr>
      <xdr:spPr>
        <a:xfrm flipV="1">
          <a:off x="5381898" y="25711033"/>
          <a:ext cx="1207325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239486</xdr:colOff>
      <xdr:row>52</xdr:row>
      <xdr:rowOff>21772</xdr:rowOff>
    </xdr:from>
    <xdr:to>
      <xdr:col>12</xdr:col>
      <xdr:colOff>284583</xdr:colOff>
      <xdr:row>55</xdr:row>
      <xdr:rowOff>75658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4987924B-2E32-439E-B139-B2F1D8947DB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7188926" y="9523912"/>
          <a:ext cx="723699" cy="613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315686</xdr:colOff>
      <xdr:row>53</xdr:row>
      <xdr:rowOff>152400</xdr:rowOff>
    </xdr:from>
    <xdr:to>
      <xdr:col>13</xdr:col>
      <xdr:colOff>190500</xdr:colOff>
      <xdr:row>53</xdr:row>
      <xdr:rowOff>152400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57C09BD5-BBF0-43A0-9DF7-0C3D08116669}"/>
            </a:ext>
          </a:extLst>
        </xdr:cNvPr>
        <xdr:cNvCxnSpPr>
          <a:cxnSpLocks/>
        </xdr:cNvCxnSpPr>
      </xdr:nvCxnSpPr>
      <xdr:spPr>
        <a:xfrm flipH="1">
          <a:off x="7874726" y="9837420"/>
          <a:ext cx="484414" cy="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42</xdr:row>
      <xdr:rowOff>66676</xdr:rowOff>
    </xdr:from>
    <xdr:to>
      <xdr:col>11</xdr:col>
      <xdr:colOff>239486</xdr:colOff>
      <xdr:row>53</xdr:row>
      <xdr:rowOff>144918</xdr:rowOff>
    </xdr:to>
    <xdr:cxnSp macro="">
      <xdr:nvCxnSpPr>
        <xdr:cNvPr id="101" name="Connector: Elbow 100">
          <a:extLst>
            <a:ext uri="{FF2B5EF4-FFF2-40B4-BE49-F238E27FC236}">
              <a16:creationId xmlns:a16="http://schemas.microsoft.com/office/drawing/2014/main" id="{03555B13-B431-49C6-B331-F40891E26A54}"/>
            </a:ext>
          </a:extLst>
        </xdr:cNvPr>
        <xdr:cNvCxnSpPr>
          <a:stCxn id="99" idx="1"/>
        </xdr:cNvCxnSpPr>
      </xdr:nvCxnSpPr>
      <xdr:spPr>
        <a:xfrm rot="10800000">
          <a:off x="5749290" y="7740016"/>
          <a:ext cx="1439636" cy="2089922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87086</xdr:colOff>
      <xdr:row>65</xdr:row>
      <xdr:rowOff>141514</xdr:rowOff>
    </xdr:from>
    <xdr:to>
      <xdr:col>25</xdr:col>
      <xdr:colOff>125185</xdr:colOff>
      <xdr:row>65</xdr:row>
      <xdr:rowOff>141514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D84D10F8-8491-4094-A79F-58411BE29063}"/>
            </a:ext>
          </a:extLst>
        </xdr:cNvPr>
        <xdr:cNvCxnSpPr>
          <a:cxnSpLocks/>
        </xdr:cNvCxnSpPr>
      </xdr:nvCxnSpPr>
      <xdr:spPr>
        <a:xfrm>
          <a:off x="13742126" y="12021094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88900</xdr:colOff>
      <xdr:row>62</xdr:row>
      <xdr:rowOff>63500</xdr:rowOff>
    </xdr:from>
    <xdr:to>
      <xdr:col>42</xdr:col>
      <xdr:colOff>126999</xdr:colOff>
      <xdr:row>62</xdr:row>
      <xdr:rowOff>63500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F79759F9-CF62-4F8E-84CC-0A59857DB357}"/>
            </a:ext>
          </a:extLst>
        </xdr:cNvPr>
        <xdr:cNvCxnSpPr>
          <a:cxnSpLocks/>
        </xdr:cNvCxnSpPr>
      </xdr:nvCxnSpPr>
      <xdr:spPr>
        <a:xfrm>
          <a:off x="24107140" y="11394440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87086</xdr:colOff>
      <xdr:row>66</xdr:row>
      <xdr:rowOff>141514</xdr:rowOff>
    </xdr:from>
    <xdr:to>
      <xdr:col>42</xdr:col>
      <xdr:colOff>125185</xdr:colOff>
      <xdr:row>66</xdr:row>
      <xdr:rowOff>141514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15AC2195-8C1E-4DAA-A6DF-71301F6DCE75}"/>
            </a:ext>
          </a:extLst>
        </xdr:cNvPr>
        <xdr:cNvCxnSpPr>
          <a:cxnSpLocks/>
        </xdr:cNvCxnSpPr>
      </xdr:nvCxnSpPr>
      <xdr:spPr>
        <a:xfrm>
          <a:off x="24105326" y="12203974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87086</xdr:colOff>
      <xdr:row>74</xdr:row>
      <xdr:rowOff>112939</xdr:rowOff>
    </xdr:from>
    <xdr:to>
      <xdr:col>60</xdr:col>
      <xdr:colOff>125185</xdr:colOff>
      <xdr:row>74</xdr:row>
      <xdr:rowOff>112939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F84422D8-3745-450C-8CF3-B98649E950E4}"/>
            </a:ext>
          </a:extLst>
        </xdr:cNvPr>
        <xdr:cNvCxnSpPr>
          <a:cxnSpLocks/>
        </xdr:cNvCxnSpPr>
      </xdr:nvCxnSpPr>
      <xdr:spPr>
        <a:xfrm>
          <a:off x="35382926" y="13638439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326571</xdr:colOff>
      <xdr:row>120</xdr:row>
      <xdr:rowOff>108855</xdr:rowOff>
    </xdr:from>
    <xdr:to>
      <xdr:col>16</xdr:col>
      <xdr:colOff>195943</xdr:colOff>
      <xdr:row>132</xdr:row>
      <xdr:rowOff>0</xdr:rowOff>
    </xdr:to>
    <xdr:cxnSp macro="">
      <xdr:nvCxnSpPr>
        <xdr:cNvPr id="106" name="Connector: Elbow 105">
          <a:extLst>
            <a:ext uri="{FF2B5EF4-FFF2-40B4-BE49-F238E27FC236}">
              <a16:creationId xmlns:a16="http://schemas.microsoft.com/office/drawing/2014/main" id="{B4143651-37CC-432A-9493-BA8150388787}"/>
            </a:ext>
          </a:extLst>
        </xdr:cNvPr>
        <xdr:cNvCxnSpPr/>
      </xdr:nvCxnSpPr>
      <xdr:spPr>
        <a:xfrm rot="10800000" flipV="1">
          <a:off x="6666411" y="22046835"/>
          <a:ext cx="3526972" cy="2085705"/>
        </a:xfrm>
        <a:prstGeom prst="bentConnector3">
          <a:avLst>
            <a:gd name="adj1" fmla="val 309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-1</xdr:colOff>
      <xdr:row>127</xdr:row>
      <xdr:rowOff>43543</xdr:rowOff>
    </xdr:from>
    <xdr:to>
      <xdr:col>16</xdr:col>
      <xdr:colOff>346363</xdr:colOff>
      <xdr:row>129</xdr:row>
      <xdr:rowOff>56738</xdr:rowOff>
    </xdr:to>
    <xdr:sp macro="" textlink="">
      <xdr:nvSpPr>
        <xdr:cNvPr id="107" name="Flowchart: Collate 106">
          <a:extLst>
            <a:ext uri="{FF2B5EF4-FFF2-40B4-BE49-F238E27FC236}">
              <a16:creationId xmlns:a16="http://schemas.microsoft.com/office/drawing/2014/main" id="{56B20FBE-F999-45F6-AF4D-8956F85F7FF1}"/>
            </a:ext>
          </a:extLst>
        </xdr:cNvPr>
        <xdr:cNvSpPr/>
      </xdr:nvSpPr>
      <xdr:spPr>
        <a:xfrm>
          <a:off x="9997439" y="23261683"/>
          <a:ext cx="346364" cy="378955"/>
        </a:xfrm>
        <a:prstGeom prst="flowChartCollate">
          <a:avLst/>
        </a:prstGeom>
        <a:solidFill>
          <a:sysClr val="window" lastClr="FFFFFF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337457</xdr:colOff>
      <xdr:row>80</xdr:row>
      <xdr:rowOff>97971</xdr:rowOff>
    </xdr:from>
    <xdr:to>
      <xdr:col>26</xdr:col>
      <xdr:colOff>337457</xdr:colOff>
      <xdr:row>85</xdr:row>
      <xdr:rowOff>10885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023759BD-0176-42B9-AF6E-68A0ECC07FAB}"/>
            </a:ext>
          </a:extLst>
        </xdr:cNvPr>
        <xdr:cNvCxnSpPr>
          <a:cxnSpLocks/>
        </xdr:cNvCxnSpPr>
      </xdr:nvCxnSpPr>
      <xdr:spPr>
        <a:xfrm>
          <a:off x="16430897" y="14720751"/>
          <a:ext cx="0" cy="827314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359229</xdr:colOff>
      <xdr:row>120</xdr:row>
      <xdr:rowOff>76200</xdr:rowOff>
    </xdr:from>
    <xdr:to>
      <xdr:col>26</xdr:col>
      <xdr:colOff>359229</xdr:colOff>
      <xdr:row>124</xdr:row>
      <xdr:rowOff>174172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B583C843-484D-4E9F-80CE-F57FA0B0CE67}"/>
            </a:ext>
          </a:extLst>
        </xdr:cNvPr>
        <xdr:cNvCxnSpPr>
          <a:cxnSpLocks/>
        </xdr:cNvCxnSpPr>
      </xdr:nvCxnSpPr>
      <xdr:spPr>
        <a:xfrm>
          <a:off x="16452669" y="22014180"/>
          <a:ext cx="0" cy="829492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326571</xdr:colOff>
      <xdr:row>93</xdr:row>
      <xdr:rowOff>108857</xdr:rowOff>
    </xdr:from>
    <xdr:to>
      <xdr:col>61</xdr:col>
      <xdr:colOff>326571</xdr:colOff>
      <xdr:row>97</xdr:row>
      <xdr:rowOff>163286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E3FB1030-30D8-45BD-A431-EE4BA7136E60}"/>
            </a:ext>
          </a:extLst>
        </xdr:cNvPr>
        <xdr:cNvCxnSpPr>
          <a:cxnSpLocks/>
        </xdr:cNvCxnSpPr>
      </xdr:nvCxnSpPr>
      <xdr:spPr>
        <a:xfrm>
          <a:off x="38060811" y="17109077"/>
          <a:ext cx="0" cy="78594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533403</xdr:colOff>
      <xdr:row>66</xdr:row>
      <xdr:rowOff>95253</xdr:rowOff>
    </xdr:from>
    <xdr:to>
      <xdr:col>15</xdr:col>
      <xdr:colOff>657224</xdr:colOff>
      <xdr:row>73</xdr:row>
      <xdr:rowOff>19051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AE1B9A37-5598-4377-950F-DE4AE06DA3EF}"/>
            </a:ext>
          </a:extLst>
        </xdr:cNvPr>
        <xdr:cNvCxnSpPr>
          <a:endCxn id="115" idx="1"/>
        </xdr:cNvCxnSpPr>
      </xdr:nvCxnSpPr>
      <xdr:spPr>
        <a:xfrm>
          <a:off x="7093747" y="12644441"/>
          <a:ext cx="3552821" cy="125729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657224</xdr:colOff>
      <xdr:row>71</xdr:row>
      <xdr:rowOff>9526</xdr:rowOff>
    </xdr:from>
    <xdr:to>
      <xdr:col>18</xdr:col>
      <xdr:colOff>57149</xdr:colOff>
      <xdr:row>75</xdr:row>
      <xdr:rowOff>28576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76159792-6913-4A73-94A2-2FBCBF738F51}"/>
            </a:ext>
          </a:extLst>
        </xdr:cNvPr>
        <xdr:cNvSpPr/>
      </xdr:nvSpPr>
      <xdr:spPr>
        <a:xfrm>
          <a:off x="10646568" y="13511214"/>
          <a:ext cx="1626394" cy="78105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269422</xdr:colOff>
      <xdr:row>31</xdr:row>
      <xdr:rowOff>104775</xdr:rowOff>
    </xdr:from>
    <xdr:to>
      <xdr:col>13</xdr:col>
      <xdr:colOff>602797</xdr:colOff>
      <xdr:row>38</xdr:row>
      <xdr:rowOff>179388</xdr:rowOff>
    </xdr:to>
    <xdr:cxnSp macro="">
      <xdr:nvCxnSpPr>
        <xdr:cNvPr id="116" name="Connector: Elbow 115">
          <a:extLst>
            <a:ext uri="{FF2B5EF4-FFF2-40B4-BE49-F238E27FC236}">
              <a16:creationId xmlns:a16="http://schemas.microsoft.com/office/drawing/2014/main" id="{2D78C875-BFEA-4E37-8C6C-625956555994}"/>
            </a:ext>
          </a:extLst>
        </xdr:cNvPr>
        <xdr:cNvCxnSpPr>
          <a:endCxn id="19" idx="3"/>
        </xdr:cNvCxnSpPr>
      </xdr:nvCxnSpPr>
      <xdr:spPr>
        <a:xfrm rot="10800000" flipV="1">
          <a:off x="7217910" y="5715000"/>
          <a:ext cx="1552575" cy="1341438"/>
        </a:xfrm>
        <a:prstGeom prst="bentConnector3">
          <a:avLst>
            <a:gd name="adj1" fmla="val 21779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148088</xdr:colOff>
      <xdr:row>38</xdr:row>
      <xdr:rowOff>177687</xdr:rowOff>
    </xdr:from>
    <xdr:to>
      <xdr:col>17</xdr:col>
      <xdr:colOff>125016</xdr:colOff>
      <xdr:row>71</xdr:row>
      <xdr:rowOff>9526</xdr:rowOff>
    </xdr:to>
    <xdr:cxnSp macro="">
      <xdr:nvCxnSpPr>
        <xdr:cNvPr id="117" name="Connector: Elbow 116">
          <a:extLst>
            <a:ext uri="{FF2B5EF4-FFF2-40B4-BE49-F238E27FC236}">
              <a16:creationId xmlns:a16="http://schemas.microsoft.com/office/drawing/2014/main" id="{75FB7018-6C0E-4173-819B-90B486A9C15B}"/>
            </a:ext>
          </a:extLst>
        </xdr:cNvPr>
        <xdr:cNvCxnSpPr>
          <a:stCxn id="115" idx="0"/>
          <a:endCxn id="19" idx="3"/>
        </xdr:cNvCxnSpPr>
      </xdr:nvCxnSpPr>
      <xdr:spPr>
        <a:xfrm rot="16200000" flipV="1">
          <a:off x="6340445" y="8391893"/>
          <a:ext cx="6094527" cy="4144115"/>
        </a:xfrm>
        <a:prstGeom prst="bentConnector2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590551</xdr:colOff>
      <xdr:row>46</xdr:row>
      <xdr:rowOff>73822</xdr:rowOff>
    </xdr:from>
    <xdr:to>
      <xdr:col>13</xdr:col>
      <xdr:colOff>488160</xdr:colOff>
      <xdr:row>50</xdr:row>
      <xdr:rowOff>92868</xdr:rowOff>
    </xdr:to>
    <xdr:cxnSp macro="">
      <xdr:nvCxnSpPr>
        <xdr:cNvPr id="118" name="Connector: Elbow 117">
          <a:extLst>
            <a:ext uri="{FF2B5EF4-FFF2-40B4-BE49-F238E27FC236}">
              <a16:creationId xmlns:a16="http://schemas.microsoft.com/office/drawing/2014/main" id="{0F0693F5-14DD-4825-B322-B2D0072FB4CA}"/>
            </a:ext>
          </a:extLst>
        </xdr:cNvPr>
        <xdr:cNvCxnSpPr/>
      </xdr:nvCxnSpPr>
      <xdr:spPr>
        <a:xfrm flipV="1">
          <a:off x="7539991" y="8478682"/>
          <a:ext cx="1116809" cy="750566"/>
        </a:xfrm>
        <a:prstGeom prst="bentConnector3">
          <a:avLst>
            <a:gd name="adj1" fmla="val 100427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295275</xdr:colOff>
      <xdr:row>83</xdr:row>
      <xdr:rowOff>152400</xdr:rowOff>
    </xdr:from>
    <xdr:to>
      <xdr:col>17</xdr:col>
      <xdr:colOff>358775</xdr:colOff>
      <xdr:row>86</xdr:row>
      <xdr:rowOff>159483</xdr:rowOff>
    </xdr:to>
    <xdr:sp macro="" textlink="">
      <xdr:nvSpPr>
        <xdr:cNvPr id="119" name="Freeform: Shape 118">
          <a:extLst>
            <a:ext uri="{FF2B5EF4-FFF2-40B4-BE49-F238E27FC236}">
              <a16:creationId xmlns:a16="http://schemas.microsoft.com/office/drawing/2014/main" id="{3C5F780C-E3CB-467A-82C7-2C0411F09A4A}"/>
            </a:ext>
          </a:extLst>
        </xdr:cNvPr>
        <xdr:cNvSpPr/>
      </xdr:nvSpPr>
      <xdr:spPr>
        <a:xfrm>
          <a:off x="10292715" y="15323820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27</xdr:col>
      <xdr:colOff>400050</xdr:colOff>
      <xdr:row>66</xdr:row>
      <xdr:rowOff>133350</xdr:rowOff>
    </xdr:from>
    <xdr:to>
      <xdr:col>32</xdr:col>
      <xdr:colOff>523871</xdr:colOff>
      <xdr:row>73</xdr:row>
      <xdr:rowOff>57148</xdr:rowOff>
    </xdr:to>
    <xdr:cxnSp macro="">
      <xdr:nvCxnSpPr>
        <xdr:cNvPr id="120" name="Connector: Elbow 119">
          <a:extLst>
            <a:ext uri="{FF2B5EF4-FFF2-40B4-BE49-F238E27FC236}">
              <a16:creationId xmlns:a16="http://schemas.microsoft.com/office/drawing/2014/main" id="{2472216C-F8D6-44CF-982E-6E9C876118E6}"/>
            </a:ext>
          </a:extLst>
        </xdr:cNvPr>
        <xdr:cNvCxnSpPr/>
      </xdr:nvCxnSpPr>
      <xdr:spPr>
        <a:xfrm>
          <a:off x="17103090" y="12195810"/>
          <a:ext cx="3171821" cy="120395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</xdr:colOff>
      <xdr:row>71</xdr:row>
      <xdr:rowOff>0</xdr:rowOff>
    </xdr:from>
    <xdr:to>
      <xdr:col>35</xdr:col>
      <xdr:colOff>19050</xdr:colOff>
      <xdr:row>75</xdr:row>
      <xdr:rowOff>19050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AC1F87EB-3FAB-446E-B9CB-6A0D7CB7706C}"/>
            </a:ext>
          </a:extLst>
        </xdr:cNvPr>
        <xdr:cNvSpPr/>
      </xdr:nvSpPr>
      <xdr:spPr>
        <a:xfrm>
          <a:off x="20370165" y="12976860"/>
          <a:ext cx="1228725" cy="75057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34</xdr:col>
      <xdr:colOff>9525</xdr:colOff>
      <xdr:row>66</xdr:row>
      <xdr:rowOff>19050</xdr:rowOff>
    </xdr:from>
    <xdr:to>
      <xdr:col>34</xdr:col>
      <xdr:colOff>14288</xdr:colOff>
      <xdr:row>71</xdr:row>
      <xdr:rowOff>0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id="{E8028303-E4B5-4227-A992-6E38ED3A2342}"/>
            </a:ext>
          </a:extLst>
        </xdr:cNvPr>
        <xdr:cNvCxnSpPr>
          <a:cxnSpLocks/>
          <a:stCxn id="121" idx="0"/>
        </xdr:cNvCxnSpPr>
      </xdr:nvCxnSpPr>
      <xdr:spPr>
        <a:xfrm flipH="1" flipV="1">
          <a:off x="20979765" y="12081510"/>
          <a:ext cx="4763" cy="89535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276225</xdr:colOff>
      <xdr:row>83</xdr:row>
      <xdr:rowOff>0</xdr:rowOff>
    </xdr:from>
    <xdr:to>
      <xdr:col>34</xdr:col>
      <xdr:colOff>380800</xdr:colOff>
      <xdr:row>86</xdr:row>
      <xdr:rowOff>76746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C7CB1E78-CCB4-46E0-8463-CE81FD0064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636865" y="15720060"/>
          <a:ext cx="723699" cy="613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28475</xdr:colOff>
      <xdr:row>86</xdr:row>
      <xdr:rowOff>65315</xdr:rowOff>
    </xdr:from>
    <xdr:to>
      <xdr:col>34</xdr:col>
      <xdr:colOff>28575</xdr:colOff>
      <xdr:row>94</xdr:row>
      <xdr:rowOff>66675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9A139618-A77D-4224-A35A-D8C368508DEF}"/>
            </a:ext>
          </a:extLst>
        </xdr:cNvPr>
        <xdr:cNvCxnSpPr>
          <a:cxnSpLocks/>
          <a:stCxn id="123" idx="2"/>
        </xdr:cNvCxnSpPr>
      </xdr:nvCxnSpPr>
      <xdr:spPr>
        <a:xfrm>
          <a:off x="20998715" y="16334015"/>
          <a:ext cx="100" cy="146440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304800</xdr:colOff>
      <xdr:row>93</xdr:row>
      <xdr:rowOff>28575</xdr:rowOff>
    </xdr:from>
    <xdr:to>
      <xdr:col>34</xdr:col>
      <xdr:colOff>368300</xdr:colOff>
      <xdr:row>96</xdr:row>
      <xdr:rowOff>35658</xdr:rowOff>
    </xdr:to>
    <xdr:sp macro="" textlink="">
      <xdr:nvSpPr>
        <xdr:cNvPr id="125" name="Freeform: Shape 124">
          <a:extLst>
            <a:ext uri="{FF2B5EF4-FFF2-40B4-BE49-F238E27FC236}">
              <a16:creationId xmlns:a16="http://schemas.microsoft.com/office/drawing/2014/main" id="{4FB1900B-BA06-49F8-B20F-76E2FB8BCA5A}"/>
            </a:ext>
          </a:extLst>
        </xdr:cNvPr>
        <xdr:cNvSpPr/>
      </xdr:nvSpPr>
      <xdr:spPr>
        <a:xfrm>
          <a:off x="20665440" y="17577435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34</xdr:col>
      <xdr:colOff>390324</xdr:colOff>
      <xdr:row>84</xdr:row>
      <xdr:rowOff>123145</xdr:rowOff>
    </xdr:from>
    <xdr:to>
      <xdr:col>36</xdr:col>
      <xdr:colOff>9525</xdr:colOff>
      <xdr:row>84</xdr:row>
      <xdr:rowOff>133350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3CB96C0A-04E4-4FFD-9F9B-983623F4639C}"/>
            </a:ext>
          </a:extLst>
        </xdr:cNvPr>
        <xdr:cNvCxnSpPr>
          <a:cxnSpLocks/>
          <a:endCxn id="123" idx="3"/>
        </xdr:cNvCxnSpPr>
      </xdr:nvCxnSpPr>
      <xdr:spPr>
        <a:xfrm flipH="1" flipV="1">
          <a:off x="21360564" y="16026085"/>
          <a:ext cx="838401" cy="10205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38100</xdr:colOff>
      <xdr:row>84</xdr:row>
      <xdr:rowOff>123145</xdr:rowOff>
    </xdr:from>
    <xdr:to>
      <xdr:col>33</xdr:col>
      <xdr:colOff>276225</xdr:colOff>
      <xdr:row>84</xdr:row>
      <xdr:rowOff>123825</xdr:rowOff>
    </xdr:to>
    <xdr:cxnSp macro="">
      <xdr:nvCxnSpPr>
        <xdr:cNvPr id="127" name="Straight Arrow Connector 126">
          <a:extLst>
            <a:ext uri="{FF2B5EF4-FFF2-40B4-BE49-F238E27FC236}">
              <a16:creationId xmlns:a16="http://schemas.microsoft.com/office/drawing/2014/main" id="{13E39BA4-9081-43B8-ADD0-DF2234C4A50A}"/>
            </a:ext>
          </a:extLst>
        </xdr:cNvPr>
        <xdr:cNvCxnSpPr>
          <a:cxnSpLocks/>
          <a:stCxn id="123" idx="1"/>
        </xdr:cNvCxnSpPr>
      </xdr:nvCxnSpPr>
      <xdr:spPr>
        <a:xfrm flipH="1">
          <a:off x="19789140" y="16026085"/>
          <a:ext cx="847725" cy="68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381000</xdr:colOff>
      <xdr:row>66</xdr:row>
      <xdr:rowOff>133350</xdr:rowOff>
    </xdr:from>
    <xdr:to>
      <xdr:col>49</xdr:col>
      <xdr:colOff>504821</xdr:colOff>
      <xdr:row>73</xdr:row>
      <xdr:rowOff>57148</xdr:rowOff>
    </xdr:to>
    <xdr:cxnSp macro="">
      <xdr:nvCxnSpPr>
        <xdr:cNvPr id="128" name="Connector: Elbow 127">
          <a:extLst>
            <a:ext uri="{FF2B5EF4-FFF2-40B4-BE49-F238E27FC236}">
              <a16:creationId xmlns:a16="http://schemas.microsoft.com/office/drawing/2014/main" id="{8BF7B86D-2413-4134-87FC-D282A7A1EC72}"/>
            </a:ext>
          </a:extLst>
        </xdr:cNvPr>
        <xdr:cNvCxnSpPr/>
      </xdr:nvCxnSpPr>
      <xdr:spPr>
        <a:xfrm>
          <a:off x="27447240" y="12195810"/>
          <a:ext cx="3171821" cy="120395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600075</xdr:colOff>
      <xdr:row>71</xdr:row>
      <xdr:rowOff>0</xdr:rowOff>
    </xdr:from>
    <xdr:to>
      <xdr:col>52</xdr:col>
      <xdr:colOff>0</xdr:colOff>
      <xdr:row>75</xdr:row>
      <xdr:rowOff>19050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63AC6A75-65A5-48F2-B0F8-C46414E1B331}"/>
            </a:ext>
          </a:extLst>
        </xdr:cNvPr>
        <xdr:cNvSpPr/>
      </xdr:nvSpPr>
      <xdr:spPr>
        <a:xfrm>
          <a:off x="30714315" y="12976860"/>
          <a:ext cx="1533525" cy="75057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52</xdr:col>
      <xdr:colOff>228601</xdr:colOff>
      <xdr:row>31</xdr:row>
      <xdr:rowOff>95250</xdr:rowOff>
    </xdr:from>
    <xdr:to>
      <xdr:col>54</xdr:col>
      <xdr:colOff>542926</xdr:colOff>
      <xdr:row>38</xdr:row>
      <xdr:rowOff>168275</xdr:rowOff>
    </xdr:to>
    <xdr:cxnSp macro="">
      <xdr:nvCxnSpPr>
        <xdr:cNvPr id="130" name="Connector: Elbow 129">
          <a:extLst>
            <a:ext uri="{FF2B5EF4-FFF2-40B4-BE49-F238E27FC236}">
              <a16:creationId xmlns:a16="http://schemas.microsoft.com/office/drawing/2014/main" id="{4FC0C582-3738-44A0-BDEA-238F1DCB3500}"/>
            </a:ext>
          </a:extLst>
        </xdr:cNvPr>
        <xdr:cNvCxnSpPr>
          <a:endCxn id="60" idx="3"/>
        </xdr:cNvCxnSpPr>
      </xdr:nvCxnSpPr>
      <xdr:spPr>
        <a:xfrm rot="10800000" flipV="1">
          <a:off x="32476441" y="5764530"/>
          <a:ext cx="1533525" cy="1353185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21158</xdr:colOff>
      <xdr:row>29</xdr:row>
      <xdr:rowOff>31978</xdr:rowOff>
    </xdr:from>
    <xdr:to>
      <xdr:col>51</xdr:col>
      <xdr:colOff>133351</xdr:colOff>
      <xdr:row>71</xdr:row>
      <xdr:rowOff>0</xdr:rowOff>
    </xdr:to>
    <xdr:cxnSp macro="">
      <xdr:nvCxnSpPr>
        <xdr:cNvPr id="131" name="Connector: Elbow 130">
          <a:extLst>
            <a:ext uri="{FF2B5EF4-FFF2-40B4-BE49-F238E27FC236}">
              <a16:creationId xmlns:a16="http://schemas.microsoft.com/office/drawing/2014/main" id="{3F1F558B-88B1-4D3D-BB34-9EDB5A390B03}"/>
            </a:ext>
          </a:extLst>
        </xdr:cNvPr>
        <xdr:cNvCxnSpPr>
          <a:stCxn id="129" idx="0"/>
          <a:endCxn id="135" idx="2"/>
        </xdr:cNvCxnSpPr>
      </xdr:nvCxnSpPr>
      <xdr:spPr>
        <a:xfrm rot="16200000" flipV="1">
          <a:off x="23627614" y="5137682"/>
          <a:ext cx="7641362" cy="8036993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73</xdr:row>
      <xdr:rowOff>9525</xdr:rowOff>
    </xdr:from>
    <xdr:to>
      <xdr:col>62</xdr:col>
      <xdr:colOff>317666</xdr:colOff>
      <xdr:row>79</xdr:row>
      <xdr:rowOff>57850</xdr:rowOff>
    </xdr:to>
    <xdr:cxnSp macro="">
      <xdr:nvCxnSpPr>
        <xdr:cNvPr id="132" name="Connector: Elbow 131">
          <a:extLst>
            <a:ext uri="{FF2B5EF4-FFF2-40B4-BE49-F238E27FC236}">
              <a16:creationId xmlns:a16="http://schemas.microsoft.com/office/drawing/2014/main" id="{AF4AC502-D160-46EF-A092-989EBB42E0D2}"/>
            </a:ext>
          </a:extLst>
        </xdr:cNvPr>
        <xdr:cNvCxnSpPr>
          <a:stCxn id="71" idx="2"/>
          <a:endCxn id="129" idx="3"/>
        </xdr:cNvCxnSpPr>
      </xdr:nvCxnSpPr>
      <xdr:spPr>
        <a:xfrm rot="5400000" flipH="1">
          <a:off x="34881870" y="10718115"/>
          <a:ext cx="1145605" cy="6413666"/>
        </a:xfrm>
        <a:prstGeom prst="bentConnector4">
          <a:avLst>
            <a:gd name="adj1" fmla="val -66346"/>
            <a:gd name="adj2" fmla="val 8858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702468</xdr:colOff>
      <xdr:row>74</xdr:row>
      <xdr:rowOff>166687</xdr:rowOff>
    </xdr:from>
    <xdr:to>
      <xdr:col>50</xdr:col>
      <xdr:colOff>702468</xdr:colOff>
      <xdr:row>82</xdr:row>
      <xdr:rowOff>154781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18A36C8D-1678-4BA2-8CE9-2BF72545977C}"/>
            </a:ext>
          </a:extLst>
        </xdr:cNvPr>
        <xdr:cNvCxnSpPr>
          <a:cxnSpLocks/>
        </xdr:cNvCxnSpPr>
      </xdr:nvCxnSpPr>
      <xdr:spPr>
        <a:xfrm>
          <a:off x="34206656" y="14239875"/>
          <a:ext cx="0" cy="1512094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266700</xdr:colOff>
      <xdr:row>82</xdr:row>
      <xdr:rowOff>0</xdr:rowOff>
    </xdr:from>
    <xdr:to>
      <xdr:col>51</xdr:col>
      <xdr:colOff>330200</xdr:colOff>
      <xdr:row>85</xdr:row>
      <xdr:rowOff>7083</xdr:rowOff>
    </xdr:to>
    <xdr:sp macro="" textlink="">
      <xdr:nvSpPr>
        <xdr:cNvPr id="134" name="Freeform: Shape 133">
          <a:extLst>
            <a:ext uri="{FF2B5EF4-FFF2-40B4-BE49-F238E27FC236}">
              <a16:creationId xmlns:a16="http://schemas.microsoft.com/office/drawing/2014/main" id="{F2FBFF2B-BC6F-4D38-AEE7-8929E66AEE5B}"/>
            </a:ext>
          </a:extLst>
        </xdr:cNvPr>
        <xdr:cNvSpPr/>
      </xdr:nvSpPr>
      <xdr:spPr>
        <a:xfrm>
          <a:off x="30990540" y="14988540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37</xdr:col>
      <xdr:colOff>267718</xdr:colOff>
      <xdr:row>25</xdr:row>
      <xdr:rowOff>147638</xdr:rowOff>
    </xdr:from>
    <xdr:to>
      <xdr:col>38</xdr:col>
      <xdr:colOff>381815</xdr:colOff>
      <xdr:row>29</xdr:row>
      <xdr:rowOff>18643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FC04127C-DFB8-40EE-BFD9-4856CCA332F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3066758" y="4719638"/>
          <a:ext cx="723698" cy="615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583406</xdr:colOff>
      <xdr:row>144</xdr:row>
      <xdr:rowOff>119063</xdr:rowOff>
    </xdr:from>
    <xdr:to>
      <xdr:col>19</xdr:col>
      <xdr:colOff>590891</xdr:colOff>
      <xdr:row>151</xdr:row>
      <xdr:rowOff>24834</xdr:rowOff>
    </xdr:to>
    <xdr:cxnSp macro="">
      <xdr:nvCxnSpPr>
        <xdr:cNvPr id="136" name="Straight Arrow Connector 135">
          <a:extLst>
            <a:ext uri="{FF2B5EF4-FFF2-40B4-BE49-F238E27FC236}">
              <a16:creationId xmlns:a16="http://schemas.microsoft.com/office/drawing/2014/main" id="{A13DB563-0000-4689-9838-124261A2E4BA}"/>
            </a:ext>
          </a:extLst>
        </xdr:cNvPr>
        <xdr:cNvCxnSpPr>
          <a:cxnSpLocks/>
        </xdr:cNvCxnSpPr>
      </xdr:nvCxnSpPr>
      <xdr:spPr>
        <a:xfrm>
          <a:off x="12409646" y="26446163"/>
          <a:ext cx="7485" cy="1185931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11906</xdr:colOff>
      <xdr:row>80</xdr:row>
      <xdr:rowOff>59532</xdr:rowOff>
    </xdr:from>
    <xdr:to>
      <xdr:col>45</xdr:col>
      <xdr:colOff>21774</xdr:colOff>
      <xdr:row>92</xdr:row>
      <xdr:rowOff>59531</xdr:rowOff>
    </xdr:to>
    <xdr:cxnSp macro="">
      <xdr:nvCxnSpPr>
        <xdr:cNvPr id="137" name="Straight Arrow Connector 136">
          <a:extLst>
            <a:ext uri="{FF2B5EF4-FFF2-40B4-BE49-F238E27FC236}">
              <a16:creationId xmlns:a16="http://schemas.microsoft.com/office/drawing/2014/main" id="{5687E83D-71F7-4352-A117-E6EBDB1B9B0C}"/>
            </a:ext>
          </a:extLst>
        </xdr:cNvPr>
        <xdr:cNvCxnSpPr>
          <a:cxnSpLocks/>
        </xdr:cNvCxnSpPr>
      </xdr:nvCxnSpPr>
      <xdr:spPr>
        <a:xfrm flipH="1">
          <a:off x="27687746" y="14682312"/>
          <a:ext cx="9868" cy="219455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452780</xdr:colOff>
      <xdr:row>84</xdr:row>
      <xdr:rowOff>147978</xdr:rowOff>
    </xdr:from>
    <xdr:to>
      <xdr:col>45</xdr:col>
      <xdr:colOff>189544</xdr:colOff>
      <xdr:row>86</xdr:row>
      <xdr:rowOff>161173</xdr:rowOff>
    </xdr:to>
    <xdr:sp macro="" textlink="">
      <xdr:nvSpPr>
        <xdr:cNvPr id="138" name="Flowchart: Collate 137">
          <a:extLst>
            <a:ext uri="{FF2B5EF4-FFF2-40B4-BE49-F238E27FC236}">
              <a16:creationId xmlns:a16="http://schemas.microsoft.com/office/drawing/2014/main" id="{011F6485-0B45-45A3-89DE-83B79DE58148}"/>
            </a:ext>
          </a:extLst>
        </xdr:cNvPr>
        <xdr:cNvSpPr/>
      </xdr:nvSpPr>
      <xdr:spPr>
        <a:xfrm>
          <a:off x="27519020" y="15502278"/>
          <a:ext cx="346364" cy="378955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583408</xdr:colOff>
      <xdr:row>85</xdr:row>
      <xdr:rowOff>142668</xdr:rowOff>
    </xdr:from>
    <xdr:to>
      <xdr:col>44</xdr:col>
      <xdr:colOff>571532</xdr:colOff>
      <xdr:row>85</xdr:row>
      <xdr:rowOff>146956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C9896B34-F6B2-4F12-99CF-181D030CBAF8}"/>
            </a:ext>
          </a:extLst>
        </xdr:cNvPr>
        <xdr:cNvCxnSpPr>
          <a:cxnSpLocks/>
        </xdr:cNvCxnSpPr>
      </xdr:nvCxnSpPr>
      <xdr:spPr>
        <a:xfrm flipV="1">
          <a:off x="26430448" y="15679848"/>
          <a:ext cx="1207324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84667</xdr:colOff>
      <xdr:row>80</xdr:row>
      <xdr:rowOff>63500</xdr:rowOff>
    </xdr:from>
    <xdr:to>
      <xdr:col>21</xdr:col>
      <xdr:colOff>116841</xdr:colOff>
      <xdr:row>120</xdr:row>
      <xdr:rowOff>27357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511B7EEA-7C87-4C87-A743-8C41A407FC90}"/>
            </a:ext>
          </a:extLst>
        </xdr:cNvPr>
        <xdr:cNvCxnSpPr>
          <a:cxnSpLocks/>
        </xdr:cNvCxnSpPr>
      </xdr:nvCxnSpPr>
      <xdr:spPr>
        <a:xfrm>
          <a:off x="13229167" y="14446250"/>
          <a:ext cx="32174" cy="7160524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541266</xdr:colOff>
      <xdr:row>103</xdr:row>
      <xdr:rowOff>38514</xdr:rowOff>
    </xdr:from>
    <xdr:to>
      <xdr:col>21</xdr:col>
      <xdr:colOff>270411</xdr:colOff>
      <xdr:row>105</xdr:row>
      <xdr:rowOff>55518</xdr:rowOff>
    </xdr:to>
    <xdr:sp macro="" textlink="">
      <xdr:nvSpPr>
        <xdr:cNvPr id="141" name="Flowchart: Collate 140">
          <a:extLst>
            <a:ext uri="{FF2B5EF4-FFF2-40B4-BE49-F238E27FC236}">
              <a16:creationId xmlns:a16="http://schemas.microsoft.com/office/drawing/2014/main" id="{7FEC7AD3-6C14-4F08-8769-78F786006941}"/>
            </a:ext>
          </a:extLst>
        </xdr:cNvPr>
        <xdr:cNvSpPr/>
      </xdr:nvSpPr>
      <xdr:spPr>
        <a:xfrm>
          <a:off x="13071933" y="18559347"/>
          <a:ext cx="342978" cy="376838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7028</xdr:colOff>
      <xdr:row>104</xdr:row>
      <xdr:rowOff>47016</xdr:rowOff>
    </xdr:from>
    <xdr:to>
      <xdr:col>21</xdr:col>
      <xdr:colOff>88498</xdr:colOff>
      <xdr:row>104</xdr:row>
      <xdr:rowOff>51304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AD83D171-0A45-4FC8-9B88-49EE961D2EBF}"/>
            </a:ext>
          </a:extLst>
        </xdr:cNvPr>
        <xdr:cNvCxnSpPr>
          <a:cxnSpLocks/>
        </xdr:cNvCxnSpPr>
      </xdr:nvCxnSpPr>
      <xdr:spPr>
        <a:xfrm flipV="1">
          <a:off x="11923861" y="18747766"/>
          <a:ext cx="1309137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22</xdr:row>
      <xdr:rowOff>68035</xdr:rowOff>
    </xdr:from>
    <xdr:to>
      <xdr:col>19</xdr:col>
      <xdr:colOff>460376</xdr:colOff>
      <xdr:row>29</xdr:row>
      <xdr:rowOff>4535</xdr:rowOff>
    </xdr:to>
    <xdr:sp macro="" textlink="">
      <xdr:nvSpPr>
        <xdr:cNvPr id="143" name="Cylinder 142">
          <a:extLst>
            <a:ext uri="{FF2B5EF4-FFF2-40B4-BE49-F238E27FC236}">
              <a16:creationId xmlns:a16="http://schemas.microsoft.com/office/drawing/2014/main" id="{5B14F9C5-DBB9-49B7-8DD4-4D6641A52FED}"/>
            </a:ext>
          </a:extLst>
        </xdr:cNvPr>
        <xdr:cNvSpPr/>
      </xdr:nvSpPr>
      <xdr:spPr>
        <a:xfrm>
          <a:off x="11194415" y="4091395"/>
          <a:ext cx="1092201" cy="121666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No2 cond tank</a:t>
          </a:r>
        </a:p>
      </xdr:txBody>
    </xdr:sp>
    <xdr:clientData/>
  </xdr:twoCellAnchor>
  <xdr:twoCellAnchor>
    <xdr:from>
      <xdr:col>17</xdr:col>
      <xdr:colOff>600983</xdr:colOff>
      <xdr:row>5</xdr:row>
      <xdr:rowOff>154215</xdr:rowOff>
    </xdr:from>
    <xdr:to>
      <xdr:col>19</xdr:col>
      <xdr:colOff>473984</xdr:colOff>
      <xdr:row>12</xdr:row>
      <xdr:rowOff>90715</xdr:rowOff>
    </xdr:to>
    <xdr:sp macro="" textlink="">
      <xdr:nvSpPr>
        <xdr:cNvPr id="144" name="Cylinder 143">
          <a:extLst>
            <a:ext uri="{FF2B5EF4-FFF2-40B4-BE49-F238E27FC236}">
              <a16:creationId xmlns:a16="http://schemas.microsoft.com/office/drawing/2014/main" id="{8DC3DE50-C187-4D38-8AD5-FFA94302DCB9}"/>
            </a:ext>
          </a:extLst>
        </xdr:cNvPr>
        <xdr:cNvSpPr/>
      </xdr:nvSpPr>
      <xdr:spPr>
        <a:xfrm>
          <a:off x="11208023" y="1068615"/>
          <a:ext cx="1092201" cy="121666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No1 cond tank</a:t>
          </a:r>
        </a:p>
      </xdr:txBody>
    </xdr:sp>
    <xdr:clientData/>
  </xdr:twoCellAnchor>
  <xdr:twoCellAnchor>
    <xdr:from>
      <xdr:col>18</xdr:col>
      <xdr:colOff>523876</xdr:colOff>
      <xdr:row>12</xdr:row>
      <xdr:rowOff>90715</xdr:rowOff>
    </xdr:from>
    <xdr:to>
      <xdr:col>18</xdr:col>
      <xdr:colOff>537484</xdr:colOff>
      <xdr:row>22</xdr:row>
      <xdr:rowOff>68035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AB7CF606-0AF9-464D-8D91-AC3D60C91F7B}"/>
            </a:ext>
          </a:extLst>
        </xdr:cNvPr>
        <xdr:cNvCxnSpPr>
          <a:cxnSpLocks/>
          <a:stCxn id="144" idx="3"/>
          <a:endCxn id="143" idx="1"/>
        </xdr:cNvCxnSpPr>
      </xdr:nvCxnSpPr>
      <xdr:spPr>
        <a:xfrm flipH="1">
          <a:off x="11740516" y="2285275"/>
          <a:ext cx="13608" cy="180612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537484</xdr:colOff>
      <xdr:row>5</xdr:row>
      <xdr:rowOff>154214</xdr:rowOff>
    </xdr:from>
    <xdr:to>
      <xdr:col>37</xdr:col>
      <xdr:colOff>583409</xdr:colOff>
      <xdr:row>33</xdr:row>
      <xdr:rowOff>190499</xdr:rowOff>
    </xdr:to>
    <xdr:cxnSp macro="">
      <xdr:nvCxnSpPr>
        <xdr:cNvPr id="146" name="Connector: Elbow 145">
          <a:extLst>
            <a:ext uri="{FF2B5EF4-FFF2-40B4-BE49-F238E27FC236}">
              <a16:creationId xmlns:a16="http://schemas.microsoft.com/office/drawing/2014/main" id="{90EAA3BA-9C44-4DF5-B453-714E018374F0}"/>
            </a:ext>
          </a:extLst>
        </xdr:cNvPr>
        <xdr:cNvCxnSpPr>
          <a:stCxn id="144" idx="1"/>
        </xdr:cNvCxnSpPr>
      </xdr:nvCxnSpPr>
      <xdr:spPr>
        <a:xfrm rot="16200000" flipH="1">
          <a:off x="14993634" y="-2170896"/>
          <a:ext cx="5149305" cy="11628325"/>
        </a:xfrm>
        <a:prstGeom prst="bentConnector4">
          <a:avLst>
            <a:gd name="adj1" fmla="val -4257"/>
            <a:gd name="adj2" fmla="val 7897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2722</xdr:colOff>
      <xdr:row>20</xdr:row>
      <xdr:rowOff>182336</xdr:rowOff>
    </xdr:from>
    <xdr:to>
      <xdr:col>20</xdr:col>
      <xdr:colOff>438150</xdr:colOff>
      <xdr:row>20</xdr:row>
      <xdr:rowOff>182336</xdr:rowOff>
    </xdr:to>
    <xdr:cxnSp macro="">
      <xdr:nvCxnSpPr>
        <xdr:cNvPr id="147" name="Straight Arrow Connector 146">
          <a:extLst>
            <a:ext uri="{FF2B5EF4-FFF2-40B4-BE49-F238E27FC236}">
              <a16:creationId xmlns:a16="http://schemas.microsoft.com/office/drawing/2014/main" id="{005642CF-4B02-4518-9BC0-3BB43333BFC2}"/>
            </a:ext>
          </a:extLst>
        </xdr:cNvPr>
        <xdr:cNvCxnSpPr>
          <a:cxnSpLocks/>
        </xdr:cNvCxnSpPr>
      </xdr:nvCxnSpPr>
      <xdr:spPr>
        <a:xfrm flipH="1">
          <a:off x="11828962" y="3839936"/>
          <a:ext cx="1045028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587828</xdr:colOff>
      <xdr:row>17</xdr:row>
      <xdr:rowOff>92528</xdr:rowOff>
    </xdr:from>
    <xdr:to>
      <xdr:col>20</xdr:col>
      <xdr:colOff>383721</xdr:colOff>
      <xdr:row>17</xdr:row>
      <xdr:rowOff>92528</xdr:rowOff>
    </xdr:to>
    <xdr:cxnSp macro="">
      <xdr:nvCxnSpPr>
        <xdr:cNvPr id="148" name="Straight Arrow Connector 147">
          <a:extLst>
            <a:ext uri="{FF2B5EF4-FFF2-40B4-BE49-F238E27FC236}">
              <a16:creationId xmlns:a16="http://schemas.microsoft.com/office/drawing/2014/main" id="{AFC95C85-F6F3-4DD9-8B9C-90E3C309E4EE}"/>
            </a:ext>
          </a:extLst>
        </xdr:cNvPr>
        <xdr:cNvCxnSpPr>
          <a:cxnSpLocks/>
        </xdr:cNvCxnSpPr>
      </xdr:nvCxnSpPr>
      <xdr:spPr>
        <a:xfrm flipH="1">
          <a:off x="11804468" y="3201488"/>
          <a:ext cx="101509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345620</xdr:colOff>
      <xdr:row>25</xdr:row>
      <xdr:rowOff>131534</xdr:rowOff>
    </xdr:from>
    <xdr:to>
      <xdr:col>17</xdr:col>
      <xdr:colOff>587375</xdr:colOff>
      <xdr:row>39</xdr:row>
      <xdr:rowOff>1814</xdr:rowOff>
    </xdr:to>
    <xdr:cxnSp macro="">
      <xdr:nvCxnSpPr>
        <xdr:cNvPr id="149" name="Connector: Elbow 148">
          <a:extLst>
            <a:ext uri="{FF2B5EF4-FFF2-40B4-BE49-F238E27FC236}">
              <a16:creationId xmlns:a16="http://schemas.microsoft.com/office/drawing/2014/main" id="{816583F4-1E04-4A59-87EE-FEA8CB6D31E4}"/>
            </a:ext>
          </a:extLst>
        </xdr:cNvPr>
        <xdr:cNvCxnSpPr>
          <a:stCxn id="143" idx="2"/>
          <a:endCxn id="19" idx="1"/>
        </xdr:cNvCxnSpPr>
      </xdr:nvCxnSpPr>
      <xdr:spPr>
        <a:xfrm rot="10800000" flipV="1">
          <a:off x="4856660" y="4703534"/>
          <a:ext cx="6337755" cy="2428695"/>
        </a:xfrm>
        <a:prstGeom prst="bentConnector3">
          <a:avLst>
            <a:gd name="adj1" fmla="val 103592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603704</xdr:colOff>
      <xdr:row>10</xdr:row>
      <xdr:rowOff>7257</xdr:rowOff>
    </xdr:from>
    <xdr:to>
      <xdr:col>10</xdr:col>
      <xdr:colOff>476704</xdr:colOff>
      <xdr:row>16</xdr:row>
      <xdr:rowOff>134257</xdr:rowOff>
    </xdr:to>
    <xdr:sp macro="" textlink="">
      <xdr:nvSpPr>
        <xdr:cNvPr id="150" name="Cylinder 149">
          <a:extLst>
            <a:ext uri="{FF2B5EF4-FFF2-40B4-BE49-F238E27FC236}">
              <a16:creationId xmlns:a16="http://schemas.microsoft.com/office/drawing/2014/main" id="{25CB6862-6C0C-43EC-BE87-C2FFA2EC48DD}"/>
            </a:ext>
          </a:extLst>
        </xdr:cNvPr>
        <xdr:cNvSpPr/>
      </xdr:nvSpPr>
      <xdr:spPr>
        <a:xfrm>
          <a:off x="5724344" y="1836057"/>
          <a:ext cx="1092200" cy="122428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No2 demin tank</a:t>
          </a:r>
        </a:p>
      </xdr:txBody>
    </xdr:sp>
    <xdr:clientData/>
  </xdr:twoCellAnchor>
  <xdr:twoCellAnchor>
    <xdr:from>
      <xdr:col>40</xdr:col>
      <xdr:colOff>571499</xdr:colOff>
      <xdr:row>24</xdr:row>
      <xdr:rowOff>27215</xdr:rowOff>
    </xdr:from>
    <xdr:to>
      <xdr:col>42</xdr:col>
      <xdr:colOff>444499</xdr:colOff>
      <xdr:row>30</xdr:row>
      <xdr:rowOff>154215</xdr:rowOff>
    </xdr:to>
    <xdr:sp macro="" textlink="">
      <xdr:nvSpPr>
        <xdr:cNvPr id="151" name="Cylinder 150">
          <a:extLst>
            <a:ext uri="{FF2B5EF4-FFF2-40B4-BE49-F238E27FC236}">
              <a16:creationId xmlns:a16="http://schemas.microsoft.com/office/drawing/2014/main" id="{01BE946F-C732-4879-8717-4F604485CD9A}"/>
            </a:ext>
          </a:extLst>
        </xdr:cNvPr>
        <xdr:cNvSpPr/>
      </xdr:nvSpPr>
      <xdr:spPr>
        <a:xfrm>
          <a:off x="25199339" y="4416335"/>
          <a:ext cx="1092200" cy="122428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No1 demin tank</a:t>
          </a:r>
        </a:p>
      </xdr:txBody>
    </xdr:sp>
    <xdr:clientData/>
  </xdr:twoCellAnchor>
  <xdr:twoCellAnchor>
    <xdr:from>
      <xdr:col>4</xdr:col>
      <xdr:colOff>312964</xdr:colOff>
      <xdr:row>13</xdr:row>
      <xdr:rowOff>68036</xdr:rowOff>
    </xdr:from>
    <xdr:to>
      <xdr:col>8</xdr:col>
      <xdr:colOff>603704</xdr:colOff>
      <xdr:row>13</xdr:row>
      <xdr:rowOff>70757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B90FC82E-39BA-4083-AD78-9E819AE57650}"/>
            </a:ext>
          </a:extLst>
        </xdr:cNvPr>
        <xdr:cNvCxnSpPr>
          <a:cxnSpLocks/>
          <a:endCxn id="150" idx="2"/>
        </xdr:cNvCxnSpPr>
      </xdr:nvCxnSpPr>
      <xdr:spPr>
        <a:xfrm>
          <a:off x="2751364" y="2445476"/>
          <a:ext cx="2972980" cy="2721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27214</xdr:colOff>
      <xdr:row>16</xdr:row>
      <xdr:rowOff>149678</xdr:rowOff>
    </xdr:from>
    <xdr:to>
      <xdr:col>9</xdr:col>
      <xdr:colOff>544286</xdr:colOff>
      <xdr:row>39</xdr:row>
      <xdr:rowOff>163285</xdr:rowOff>
    </xdr:to>
    <xdr:sp macro="" textlink="">
      <xdr:nvSpPr>
        <xdr:cNvPr id="153" name="Freeform: Shape 152">
          <a:extLst>
            <a:ext uri="{FF2B5EF4-FFF2-40B4-BE49-F238E27FC236}">
              <a16:creationId xmlns:a16="http://schemas.microsoft.com/office/drawing/2014/main" id="{D32D1D3F-4B69-46C3-86BB-6A9FBE62E453}"/>
            </a:ext>
          </a:extLst>
        </xdr:cNvPr>
        <xdr:cNvSpPr/>
      </xdr:nvSpPr>
      <xdr:spPr>
        <a:xfrm>
          <a:off x="1246414" y="3075758"/>
          <a:ext cx="5028112" cy="4219847"/>
        </a:xfrm>
        <a:custGeom>
          <a:avLst/>
          <a:gdLst>
            <a:gd name="connsiteX0" fmla="*/ 5021036 w 5021036"/>
            <a:gd name="connsiteY0" fmla="*/ 0 h 4286250"/>
            <a:gd name="connsiteX1" fmla="*/ 5021036 w 5021036"/>
            <a:gd name="connsiteY1" fmla="*/ 1197428 h 4286250"/>
            <a:gd name="connsiteX2" fmla="*/ 1823357 w 5021036"/>
            <a:gd name="connsiteY2" fmla="*/ 1197428 h 4286250"/>
            <a:gd name="connsiteX3" fmla="*/ 1823357 w 5021036"/>
            <a:gd name="connsiteY3" fmla="*/ 2571750 h 4286250"/>
            <a:gd name="connsiteX4" fmla="*/ 0 w 5021036"/>
            <a:gd name="connsiteY4" fmla="*/ 2571750 h 4286250"/>
            <a:gd name="connsiteX5" fmla="*/ 0 w 5021036"/>
            <a:gd name="connsiteY5" fmla="*/ 4286250 h 4286250"/>
            <a:gd name="connsiteX6" fmla="*/ 3592286 w 5021036"/>
            <a:gd name="connsiteY6" fmla="*/ 4286250 h 4286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5021036" h="4286250">
              <a:moveTo>
                <a:pt x="5021036" y="0"/>
              </a:moveTo>
              <a:lnTo>
                <a:pt x="5021036" y="1197428"/>
              </a:lnTo>
              <a:lnTo>
                <a:pt x="1823357" y="1197428"/>
              </a:lnTo>
              <a:lnTo>
                <a:pt x="1823357" y="2571750"/>
              </a:lnTo>
              <a:lnTo>
                <a:pt x="0" y="2571750"/>
              </a:lnTo>
              <a:lnTo>
                <a:pt x="0" y="4286250"/>
              </a:lnTo>
              <a:lnTo>
                <a:pt x="3592286" y="4286250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503464</xdr:colOff>
      <xdr:row>13</xdr:row>
      <xdr:rowOff>54429</xdr:rowOff>
    </xdr:from>
    <xdr:to>
      <xdr:col>24</xdr:col>
      <xdr:colOff>381000</xdr:colOff>
      <xdr:row>41</xdr:row>
      <xdr:rowOff>40821</xdr:rowOff>
    </xdr:to>
    <xdr:sp macro="" textlink="">
      <xdr:nvSpPr>
        <xdr:cNvPr id="154" name="Freeform: Shape 153">
          <a:extLst>
            <a:ext uri="{FF2B5EF4-FFF2-40B4-BE49-F238E27FC236}">
              <a16:creationId xmlns:a16="http://schemas.microsoft.com/office/drawing/2014/main" id="{C50EE8F1-E2CA-4177-86FB-A7AF9E9F1CB6}"/>
            </a:ext>
          </a:extLst>
        </xdr:cNvPr>
        <xdr:cNvSpPr/>
      </xdr:nvSpPr>
      <xdr:spPr>
        <a:xfrm>
          <a:off x="6843304" y="2431869"/>
          <a:ext cx="8411936" cy="5099412"/>
        </a:xfrm>
        <a:custGeom>
          <a:avLst/>
          <a:gdLst>
            <a:gd name="connsiteX0" fmla="*/ 0 w 8450036"/>
            <a:gd name="connsiteY0" fmla="*/ 0 h 5320392"/>
            <a:gd name="connsiteX1" fmla="*/ 4027714 w 8450036"/>
            <a:gd name="connsiteY1" fmla="*/ 0 h 5320392"/>
            <a:gd name="connsiteX2" fmla="*/ 4054928 w 8450036"/>
            <a:gd name="connsiteY2" fmla="*/ 5320392 h 5320392"/>
            <a:gd name="connsiteX3" fmla="*/ 8450036 w 8450036"/>
            <a:gd name="connsiteY3" fmla="*/ 5279571 h 5320392"/>
            <a:gd name="connsiteX4" fmla="*/ 8450036 w 8450036"/>
            <a:gd name="connsiteY4" fmla="*/ 5279571 h 5320392"/>
            <a:gd name="connsiteX5" fmla="*/ 8450036 w 8450036"/>
            <a:gd name="connsiteY5" fmla="*/ 5279571 h 5320392"/>
            <a:gd name="connsiteX6" fmla="*/ 8450036 w 8450036"/>
            <a:gd name="connsiteY6" fmla="*/ 5279571 h 53203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8450036" h="5320392">
              <a:moveTo>
                <a:pt x="0" y="0"/>
              </a:moveTo>
              <a:lnTo>
                <a:pt x="4027714" y="0"/>
              </a:lnTo>
              <a:lnTo>
                <a:pt x="4054928" y="5320392"/>
              </a:lnTo>
              <a:lnTo>
                <a:pt x="8450036" y="5279571"/>
              </a:lnTo>
              <a:lnTo>
                <a:pt x="8450036" y="5279571"/>
              </a:lnTo>
              <a:lnTo>
                <a:pt x="8450036" y="5279571"/>
              </a:lnTo>
              <a:lnTo>
                <a:pt x="8450036" y="5279571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42</xdr:col>
      <xdr:colOff>444499</xdr:colOff>
      <xdr:row>27</xdr:row>
      <xdr:rowOff>90715</xdr:rowOff>
    </xdr:from>
    <xdr:to>
      <xdr:col>48</xdr:col>
      <xdr:colOff>304799</xdr:colOff>
      <xdr:row>38</xdr:row>
      <xdr:rowOff>139700</xdr:rowOff>
    </xdr:to>
    <xdr:cxnSp macro="">
      <xdr:nvCxnSpPr>
        <xdr:cNvPr id="155" name="Connector: Elbow 154">
          <a:extLst>
            <a:ext uri="{FF2B5EF4-FFF2-40B4-BE49-F238E27FC236}">
              <a16:creationId xmlns:a16="http://schemas.microsoft.com/office/drawing/2014/main" id="{2C7746FF-2BEB-4006-8D46-B47D61E29A4E}"/>
            </a:ext>
          </a:extLst>
        </xdr:cNvPr>
        <xdr:cNvCxnSpPr>
          <a:stCxn id="151" idx="4"/>
          <a:endCxn id="60" idx="1"/>
        </xdr:cNvCxnSpPr>
      </xdr:nvCxnSpPr>
      <xdr:spPr>
        <a:xfrm>
          <a:off x="26291539" y="5028475"/>
          <a:ext cx="3517900" cy="2060665"/>
        </a:xfrm>
        <a:prstGeom prst="bentConnector3">
          <a:avLst>
            <a:gd name="adj1" fmla="val 50000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381816</xdr:colOff>
      <xdr:row>27</xdr:row>
      <xdr:rowOff>89808</xdr:rowOff>
    </xdr:from>
    <xdr:to>
      <xdr:col>40</xdr:col>
      <xdr:colOff>571499</xdr:colOff>
      <xdr:row>27</xdr:row>
      <xdr:rowOff>90715</xdr:rowOff>
    </xdr:to>
    <xdr:cxnSp macro="">
      <xdr:nvCxnSpPr>
        <xdr:cNvPr id="156" name="Straight Arrow Connector 155">
          <a:extLst>
            <a:ext uri="{FF2B5EF4-FFF2-40B4-BE49-F238E27FC236}">
              <a16:creationId xmlns:a16="http://schemas.microsoft.com/office/drawing/2014/main" id="{937E94D2-034E-4028-9D78-1C82435238A3}"/>
            </a:ext>
          </a:extLst>
        </xdr:cNvPr>
        <xdr:cNvCxnSpPr>
          <a:cxnSpLocks/>
          <a:stCxn id="135" idx="3"/>
          <a:endCxn id="151" idx="2"/>
        </xdr:cNvCxnSpPr>
      </xdr:nvCxnSpPr>
      <xdr:spPr>
        <a:xfrm>
          <a:off x="23790456" y="5027568"/>
          <a:ext cx="1408883" cy="907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503464</xdr:colOff>
      <xdr:row>2</xdr:row>
      <xdr:rowOff>122464</xdr:rowOff>
    </xdr:from>
    <xdr:to>
      <xdr:col>37</xdr:col>
      <xdr:colOff>273843</xdr:colOff>
      <xdr:row>27</xdr:row>
      <xdr:rowOff>119062</xdr:rowOff>
    </xdr:to>
    <xdr:sp macro="" textlink="">
      <xdr:nvSpPr>
        <xdr:cNvPr id="157" name="Freeform: Shape 156">
          <a:extLst>
            <a:ext uri="{FF2B5EF4-FFF2-40B4-BE49-F238E27FC236}">
              <a16:creationId xmlns:a16="http://schemas.microsoft.com/office/drawing/2014/main" id="{5133B788-518F-457A-ACAD-58CED74EB616}"/>
            </a:ext>
          </a:extLst>
        </xdr:cNvPr>
        <xdr:cNvSpPr/>
      </xdr:nvSpPr>
      <xdr:spPr>
        <a:xfrm>
          <a:off x="3551464" y="488224"/>
          <a:ext cx="19521419" cy="4568598"/>
        </a:xfrm>
        <a:custGeom>
          <a:avLst/>
          <a:gdLst>
            <a:gd name="connsiteX0" fmla="*/ 0 w 18560143"/>
            <a:gd name="connsiteY0" fmla="*/ 2000250 h 4789714"/>
            <a:gd name="connsiteX1" fmla="*/ 0 w 18560143"/>
            <a:gd name="connsiteY1" fmla="*/ 13607 h 4789714"/>
            <a:gd name="connsiteX2" fmla="*/ 17172215 w 18560143"/>
            <a:gd name="connsiteY2" fmla="*/ 0 h 4789714"/>
            <a:gd name="connsiteX3" fmla="*/ 17158607 w 18560143"/>
            <a:gd name="connsiteY3" fmla="*/ 4789714 h 4789714"/>
            <a:gd name="connsiteX4" fmla="*/ 18560143 w 18560143"/>
            <a:gd name="connsiteY4" fmla="*/ 4789714 h 4789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8560143" h="4789714">
              <a:moveTo>
                <a:pt x="0" y="2000250"/>
              </a:moveTo>
              <a:lnTo>
                <a:pt x="0" y="13607"/>
              </a:lnTo>
              <a:lnTo>
                <a:pt x="17172215" y="0"/>
              </a:lnTo>
              <a:lnTo>
                <a:pt x="17158607" y="4789714"/>
              </a:lnTo>
              <a:lnTo>
                <a:pt x="18560143" y="4789714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19</xdr:col>
      <xdr:colOff>463099</xdr:colOff>
      <xdr:row>9</xdr:row>
      <xdr:rowOff>152401</xdr:rowOff>
    </xdr:from>
    <xdr:to>
      <xdr:col>32</xdr:col>
      <xdr:colOff>0</xdr:colOff>
      <xdr:row>9</xdr:row>
      <xdr:rowOff>160566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89DBE7F8-C50F-40C3-8B5F-6CC99C17DB41}"/>
            </a:ext>
          </a:extLst>
        </xdr:cNvPr>
        <xdr:cNvCxnSpPr>
          <a:cxnSpLocks/>
        </xdr:cNvCxnSpPr>
      </xdr:nvCxnSpPr>
      <xdr:spPr>
        <a:xfrm flipH="1">
          <a:off x="12289339" y="1798321"/>
          <a:ext cx="7461701" cy="8165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598714</xdr:colOff>
      <xdr:row>14</xdr:row>
      <xdr:rowOff>10886</xdr:rowOff>
    </xdr:from>
    <xdr:to>
      <xdr:col>31</xdr:col>
      <xdr:colOff>32657</xdr:colOff>
      <xdr:row>14</xdr:row>
      <xdr:rowOff>10886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80BFED88-9F1E-47E7-9D5F-346D45A92490}"/>
            </a:ext>
          </a:extLst>
        </xdr:cNvPr>
        <xdr:cNvCxnSpPr>
          <a:cxnSpLocks/>
        </xdr:cNvCxnSpPr>
      </xdr:nvCxnSpPr>
      <xdr:spPr>
        <a:xfrm flipH="1">
          <a:off x="18520954" y="2571206"/>
          <a:ext cx="65314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27214</xdr:colOff>
      <xdr:row>6</xdr:row>
      <xdr:rowOff>1</xdr:rowOff>
    </xdr:from>
    <xdr:to>
      <xdr:col>28</xdr:col>
      <xdr:colOff>27214</xdr:colOff>
      <xdr:row>9</xdr:row>
      <xdr:rowOff>144237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563A40E6-7528-4B98-B557-01D57FBC414E}"/>
            </a:ext>
          </a:extLst>
        </xdr:cNvPr>
        <xdr:cNvCxnSpPr>
          <a:cxnSpLocks/>
        </xdr:cNvCxnSpPr>
      </xdr:nvCxnSpPr>
      <xdr:spPr>
        <a:xfrm>
          <a:off x="17339854" y="1097281"/>
          <a:ext cx="0" cy="692876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533400</xdr:colOff>
      <xdr:row>9</xdr:row>
      <xdr:rowOff>168729</xdr:rowOff>
    </xdr:from>
    <xdr:to>
      <xdr:col>29</xdr:col>
      <xdr:colOff>544287</xdr:colOff>
      <xdr:row>18</xdr:row>
      <xdr:rowOff>119742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7267729C-D4CE-4CF5-9900-15C51ECD5BC6}"/>
            </a:ext>
          </a:extLst>
        </xdr:cNvPr>
        <xdr:cNvCxnSpPr>
          <a:cxnSpLocks/>
        </xdr:cNvCxnSpPr>
      </xdr:nvCxnSpPr>
      <xdr:spPr>
        <a:xfrm flipV="1">
          <a:off x="18455640" y="1814649"/>
          <a:ext cx="10887" cy="1596933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522513</xdr:colOff>
      <xdr:row>10</xdr:row>
      <xdr:rowOff>43544</xdr:rowOff>
    </xdr:from>
    <xdr:to>
      <xdr:col>26</xdr:col>
      <xdr:colOff>522513</xdr:colOff>
      <xdr:row>13</xdr:row>
      <xdr:rowOff>111580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7F54A05C-8A95-499C-B6E7-C9938FB830E8}"/>
            </a:ext>
          </a:extLst>
        </xdr:cNvPr>
        <xdr:cNvCxnSpPr>
          <a:cxnSpLocks/>
        </xdr:cNvCxnSpPr>
      </xdr:nvCxnSpPr>
      <xdr:spPr>
        <a:xfrm flipV="1">
          <a:off x="16615953" y="1872344"/>
          <a:ext cx="0" cy="616676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5443</xdr:colOff>
      <xdr:row>5</xdr:row>
      <xdr:rowOff>174171</xdr:rowOff>
    </xdr:from>
    <xdr:to>
      <xdr:col>25</xdr:col>
      <xdr:colOff>5443</xdr:colOff>
      <xdr:row>9</xdr:row>
      <xdr:rowOff>133350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844ECA9B-56E7-4472-9412-F5BB7C83B087}"/>
            </a:ext>
          </a:extLst>
        </xdr:cNvPr>
        <xdr:cNvCxnSpPr>
          <a:cxnSpLocks/>
        </xdr:cNvCxnSpPr>
      </xdr:nvCxnSpPr>
      <xdr:spPr>
        <a:xfrm>
          <a:off x="15489283" y="1088571"/>
          <a:ext cx="0" cy="69069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555171</xdr:colOff>
      <xdr:row>13</xdr:row>
      <xdr:rowOff>152400</xdr:rowOff>
    </xdr:from>
    <xdr:to>
      <xdr:col>20</xdr:col>
      <xdr:colOff>351064</xdr:colOff>
      <xdr:row>13</xdr:row>
      <xdr:rowOff>152400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33FB06B4-48F8-440B-BEAC-A80C95DAB3E2}"/>
            </a:ext>
          </a:extLst>
        </xdr:cNvPr>
        <xdr:cNvCxnSpPr>
          <a:cxnSpLocks/>
        </xdr:cNvCxnSpPr>
      </xdr:nvCxnSpPr>
      <xdr:spPr>
        <a:xfrm flipH="1">
          <a:off x="11771811" y="2529840"/>
          <a:ext cx="101509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598714</xdr:colOff>
      <xdr:row>152</xdr:row>
      <xdr:rowOff>65315</xdr:rowOff>
    </xdr:from>
    <xdr:to>
      <xdr:col>15</xdr:col>
      <xdr:colOff>606199</xdr:colOff>
      <xdr:row>158</xdr:row>
      <xdr:rowOff>156143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83DB4BCE-83B6-4DEC-A895-36ED195E7EF0}"/>
            </a:ext>
          </a:extLst>
        </xdr:cNvPr>
        <xdr:cNvCxnSpPr>
          <a:cxnSpLocks/>
        </xdr:cNvCxnSpPr>
      </xdr:nvCxnSpPr>
      <xdr:spPr>
        <a:xfrm>
          <a:off x="9986554" y="27855455"/>
          <a:ext cx="7485" cy="1188108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115</xdr:row>
      <xdr:rowOff>80010</xdr:rowOff>
    </xdr:from>
    <xdr:to>
      <xdr:col>65</xdr:col>
      <xdr:colOff>495300</xdr:colOff>
      <xdr:row>122</xdr:row>
      <xdr:rowOff>167640</xdr:rowOff>
    </xdr:to>
    <xdr:sp macro="" textlink="">
      <xdr:nvSpPr>
        <xdr:cNvPr id="167" name="Flowchart: Manual Operation 166">
          <a:extLst>
            <a:ext uri="{FF2B5EF4-FFF2-40B4-BE49-F238E27FC236}">
              <a16:creationId xmlns:a16="http://schemas.microsoft.com/office/drawing/2014/main" id="{57BDE983-A45E-4F29-89A3-29980A1EA358}"/>
            </a:ext>
          </a:extLst>
        </xdr:cNvPr>
        <xdr:cNvSpPr/>
      </xdr:nvSpPr>
      <xdr:spPr>
        <a:xfrm rot="5400000">
          <a:off x="3162300" y="1127760"/>
          <a:ext cx="1367790" cy="183261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111</xdr:row>
      <xdr:rowOff>38100</xdr:rowOff>
    </xdr:from>
    <xdr:to>
      <xdr:col>64</xdr:col>
      <xdr:colOff>188595</xdr:colOff>
      <xdr:row>116</xdr:row>
      <xdr:rowOff>33909</xdr:rowOff>
    </xdr:to>
    <xdr:cxnSp macro="">
      <xdr:nvCxnSpPr>
        <xdr:cNvPr id="168" name="Connector: Elbow 167">
          <a:extLst>
            <a:ext uri="{FF2B5EF4-FFF2-40B4-BE49-F238E27FC236}">
              <a16:creationId xmlns:a16="http://schemas.microsoft.com/office/drawing/2014/main" id="{6BD3F211-3B3D-448F-A188-5A07D5F2EE25}"/>
            </a:ext>
          </a:extLst>
        </xdr:cNvPr>
        <xdr:cNvCxnSpPr>
          <a:endCxn id="167" idx="1"/>
        </xdr:cNvCxnSpPr>
      </xdr:nvCxnSpPr>
      <xdr:spPr>
        <a:xfrm>
          <a:off x="2141220" y="586740"/>
          <a:ext cx="1704975" cy="910209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188595</xdr:colOff>
      <xdr:row>115</xdr:row>
      <xdr:rowOff>171069</xdr:rowOff>
    </xdr:from>
    <xdr:to>
      <xdr:col>72</xdr:col>
      <xdr:colOff>287655</xdr:colOff>
      <xdr:row>122</xdr:row>
      <xdr:rowOff>30861</xdr:rowOff>
    </xdr:to>
    <xdr:cxnSp macro="">
      <xdr:nvCxnSpPr>
        <xdr:cNvPr id="169" name="Connector: Elbow 168">
          <a:extLst>
            <a:ext uri="{FF2B5EF4-FFF2-40B4-BE49-F238E27FC236}">
              <a16:creationId xmlns:a16="http://schemas.microsoft.com/office/drawing/2014/main" id="{19C1C81E-6843-49EC-9DF0-16F8C1243D7F}"/>
            </a:ext>
          </a:extLst>
        </xdr:cNvPr>
        <xdr:cNvCxnSpPr>
          <a:stCxn id="167" idx="3"/>
          <a:endCxn id="173" idx="1"/>
        </xdr:cNvCxnSpPr>
      </xdr:nvCxnSpPr>
      <xdr:spPr>
        <a:xfrm rot="5400000" flipH="1" flipV="1">
          <a:off x="5764149" y="-466725"/>
          <a:ext cx="1139952" cy="4975860"/>
        </a:xfrm>
        <a:prstGeom prst="bentConnector5">
          <a:avLst>
            <a:gd name="adj1" fmla="val -31417"/>
            <a:gd name="adj2" fmla="val 50000"/>
            <a:gd name="adj3" fmla="val 234638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251460</xdr:colOff>
      <xdr:row>124</xdr:row>
      <xdr:rowOff>45720</xdr:rowOff>
    </xdr:from>
    <xdr:to>
      <xdr:col>68</xdr:col>
      <xdr:colOff>53340</xdr:colOff>
      <xdr:row>134</xdr:row>
      <xdr:rowOff>152400</xdr:rowOff>
    </xdr:to>
    <xdr:cxnSp macro="">
      <xdr:nvCxnSpPr>
        <xdr:cNvPr id="170" name="Connector: Elbow 169">
          <a:extLst>
            <a:ext uri="{FF2B5EF4-FFF2-40B4-BE49-F238E27FC236}">
              <a16:creationId xmlns:a16="http://schemas.microsoft.com/office/drawing/2014/main" id="{40434A71-AB47-4011-8597-C4BA835E3B78}"/>
            </a:ext>
          </a:extLst>
        </xdr:cNvPr>
        <xdr:cNvCxnSpPr/>
      </xdr:nvCxnSpPr>
      <xdr:spPr>
        <a:xfrm rot="16200000" flipH="1">
          <a:off x="4671060" y="3429000"/>
          <a:ext cx="1935480" cy="1021080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287655</xdr:colOff>
      <xdr:row>121</xdr:row>
      <xdr:rowOff>168020</xdr:rowOff>
    </xdr:from>
    <xdr:to>
      <xdr:col>75</xdr:col>
      <xdr:colOff>411480</xdr:colOff>
      <xdr:row>125</xdr:row>
      <xdr:rowOff>160019</xdr:rowOff>
    </xdr:to>
    <xdr:cxnSp macro="">
      <xdr:nvCxnSpPr>
        <xdr:cNvPr id="171" name="Connector: Elbow 170">
          <a:extLst>
            <a:ext uri="{FF2B5EF4-FFF2-40B4-BE49-F238E27FC236}">
              <a16:creationId xmlns:a16="http://schemas.microsoft.com/office/drawing/2014/main" id="{841F951A-FD18-49B2-8B72-E83EEC0749B4}"/>
            </a:ext>
          </a:extLst>
        </xdr:cNvPr>
        <xdr:cNvCxnSpPr>
          <a:stCxn id="173" idx="3"/>
        </xdr:cNvCxnSpPr>
      </xdr:nvCxnSpPr>
      <xdr:spPr>
        <a:xfrm rot="16200000" flipH="1">
          <a:off x="9436608" y="1930907"/>
          <a:ext cx="723519" cy="195262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495300</xdr:colOff>
      <xdr:row>119</xdr:row>
      <xdr:rowOff>30480</xdr:rowOff>
    </xdr:from>
    <xdr:to>
      <xdr:col>76</xdr:col>
      <xdr:colOff>541020</xdr:colOff>
      <xdr:row>119</xdr:row>
      <xdr:rowOff>32385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3425C3DE-30FB-48A4-9EA3-895683163379}"/>
            </a:ext>
          </a:extLst>
        </xdr:cNvPr>
        <xdr:cNvCxnSpPr>
          <a:stCxn id="167" idx="0"/>
        </xdr:cNvCxnSpPr>
      </xdr:nvCxnSpPr>
      <xdr:spPr>
        <a:xfrm flipV="1">
          <a:off x="4762500" y="2042160"/>
          <a:ext cx="6751320" cy="190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590550</xdr:colOff>
      <xdr:row>115</xdr:row>
      <xdr:rowOff>34290</xdr:rowOff>
    </xdr:from>
    <xdr:to>
      <xdr:col>73</xdr:col>
      <xdr:colOff>594360</xdr:colOff>
      <xdr:row>122</xdr:row>
      <xdr:rowOff>121920</xdr:rowOff>
    </xdr:to>
    <xdr:sp macro="" textlink="">
      <xdr:nvSpPr>
        <xdr:cNvPr id="173" name="Flowchart: Manual Operation 172">
          <a:extLst>
            <a:ext uri="{FF2B5EF4-FFF2-40B4-BE49-F238E27FC236}">
              <a16:creationId xmlns:a16="http://schemas.microsoft.com/office/drawing/2014/main" id="{5FB01153-7CAE-4067-890E-EA8D6B49A250}"/>
            </a:ext>
          </a:extLst>
        </xdr:cNvPr>
        <xdr:cNvSpPr/>
      </xdr:nvSpPr>
      <xdr:spPr>
        <a:xfrm rot="5400000">
          <a:off x="8138160" y="1082040"/>
          <a:ext cx="1367790" cy="183261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2</a:t>
          </a:r>
        </a:p>
      </xdr:txBody>
    </xdr:sp>
    <xdr:clientData/>
  </xdr:twoCellAnchor>
  <xdr:twoCellAnchor>
    <xdr:from>
      <xdr:col>14</xdr:col>
      <xdr:colOff>563641</xdr:colOff>
      <xdr:row>146</xdr:row>
      <xdr:rowOff>9922</xdr:rowOff>
    </xdr:from>
    <xdr:to>
      <xdr:col>14</xdr:col>
      <xdr:colOff>565546</xdr:colOff>
      <xdr:row>151</xdr:row>
      <xdr:rowOff>67549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00D2577A-87C9-4836-80A8-C687CF467C16}"/>
            </a:ext>
          </a:extLst>
        </xdr:cNvPr>
        <xdr:cNvCxnSpPr>
          <a:cxnSpLocks/>
        </xdr:cNvCxnSpPr>
      </xdr:nvCxnSpPr>
      <xdr:spPr>
        <a:xfrm flipV="1">
          <a:off x="9017079" y="26074688"/>
          <a:ext cx="1905" cy="95059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225605</xdr:colOff>
      <xdr:row>99</xdr:row>
      <xdr:rowOff>37012</xdr:rowOff>
    </xdr:from>
    <xdr:to>
      <xdr:col>11</xdr:col>
      <xdr:colOff>262345</xdr:colOff>
      <xdr:row>101</xdr:row>
      <xdr:rowOff>108857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BAC7F227-FF04-A021-D1A9-99147B7BACBF}"/>
            </a:ext>
          </a:extLst>
        </xdr:cNvPr>
        <xdr:cNvSpPr txBox="1"/>
      </xdr:nvSpPr>
      <xdr:spPr>
        <a:xfrm>
          <a:off x="4702355" y="18882905"/>
          <a:ext cx="2486026" cy="452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Cogen Turbine</a:t>
          </a:r>
        </a:p>
      </xdr:txBody>
    </xdr:sp>
    <xdr:clientData/>
  </xdr:twoCellAnchor>
  <xdr:twoCellAnchor>
    <xdr:from>
      <xdr:col>25</xdr:col>
      <xdr:colOff>388891</xdr:colOff>
      <xdr:row>103</xdr:row>
      <xdr:rowOff>24311</xdr:rowOff>
    </xdr:from>
    <xdr:to>
      <xdr:col>29</xdr:col>
      <xdr:colOff>388890</xdr:colOff>
      <xdr:row>112</xdr:row>
      <xdr:rowOff>125004</xdr:rowOff>
    </xdr:to>
    <xdr:sp macro="" textlink="">
      <xdr:nvSpPr>
        <xdr:cNvPr id="112" name="Flowchart: Manual Operation 111">
          <a:extLst>
            <a:ext uri="{FF2B5EF4-FFF2-40B4-BE49-F238E27FC236}">
              <a16:creationId xmlns:a16="http://schemas.microsoft.com/office/drawing/2014/main" id="{BD6C30E2-8D1C-4C5C-8754-3A115E5051BD}"/>
            </a:ext>
          </a:extLst>
        </xdr:cNvPr>
        <xdr:cNvSpPr/>
      </xdr:nvSpPr>
      <xdr:spPr>
        <a:xfrm rot="5400000">
          <a:off x="16428990" y="17865997"/>
          <a:ext cx="1692729" cy="2449285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26</xdr:col>
      <xdr:colOff>54878</xdr:colOff>
      <xdr:row>105</xdr:row>
      <xdr:rowOff>120014</xdr:rowOff>
    </xdr:from>
    <xdr:to>
      <xdr:col>30</xdr:col>
      <xdr:colOff>211998</xdr:colOff>
      <xdr:row>110</xdr:row>
      <xdr:rowOff>93344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16BC823-6531-4B69-996B-8F4B15ACB127}"/>
            </a:ext>
          </a:extLst>
        </xdr:cNvPr>
        <xdr:cNvSpPr txBox="1"/>
      </xdr:nvSpPr>
      <xdr:spPr>
        <a:xfrm>
          <a:off x="16329021" y="18693764"/>
          <a:ext cx="2606406" cy="857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Condensing Turbine</a:t>
          </a:r>
        </a:p>
      </xdr:txBody>
    </xdr:sp>
    <xdr:clientData/>
  </xdr:twoCellAnchor>
  <xdr:twoCellAnchor>
    <xdr:from>
      <xdr:col>23</xdr:col>
      <xdr:colOff>439240</xdr:colOff>
      <xdr:row>80</xdr:row>
      <xdr:rowOff>78648</xdr:rowOff>
    </xdr:from>
    <xdr:to>
      <xdr:col>25</xdr:col>
      <xdr:colOff>392702</xdr:colOff>
      <xdr:row>107</xdr:row>
      <xdr:rowOff>164055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4A609659-AA9A-4EDD-9229-EA6E82F23AE1}"/>
            </a:ext>
          </a:extLst>
        </xdr:cNvPr>
        <xdr:cNvCxnSpPr>
          <a:endCxn id="112" idx="2"/>
        </xdr:cNvCxnSpPr>
      </xdr:nvCxnSpPr>
      <xdr:spPr>
        <a:xfrm rot="16200000" flipH="1">
          <a:off x="13032809" y="16069877"/>
          <a:ext cx="4859609" cy="1180009"/>
        </a:xfrm>
        <a:prstGeom prst="bentConnector2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343199</xdr:colOff>
      <xdr:row>107</xdr:row>
      <xdr:rowOff>125169</xdr:rowOff>
    </xdr:from>
    <xdr:to>
      <xdr:col>32</xdr:col>
      <xdr:colOff>18602</xdr:colOff>
      <xdr:row>107</xdr:row>
      <xdr:rowOff>141093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F71887AE-A838-4E97-AB41-2E194E7B7817}"/>
            </a:ext>
          </a:extLst>
        </xdr:cNvPr>
        <xdr:cNvCxnSpPr>
          <a:cxnSpLocks/>
        </xdr:cNvCxnSpPr>
      </xdr:nvCxnSpPr>
      <xdr:spPr>
        <a:xfrm flipV="1">
          <a:off x="18706150" y="20162021"/>
          <a:ext cx="1511698" cy="15924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18600</xdr:colOff>
      <xdr:row>112</xdr:row>
      <xdr:rowOff>46729</xdr:rowOff>
    </xdr:from>
    <xdr:to>
      <xdr:col>33</xdr:col>
      <xdr:colOff>89648</xdr:colOff>
      <xdr:row>132</xdr:row>
      <xdr:rowOff>0</xdr:rowOff>
    </xdr:to>
    <xdr:cxnSp macro="">
      <xdr:nvCxnSpPr>
        <xdr:cNvPr id="178" name="Connector: Elbow 177">
          <a:extLst>
            <a:ext uri="{FF2B5EF4-FFF2-40B4-BE49-F238E27FC236}">
              <a16:creationId xmlns:a16="http://schemas.microsoft.com/office/drawing/2014/main" id="{E7DB7898-A864-4E27-9B6B-54121E6A9B6F}"/>
            </a:ext>
          </a:extLst>
        </xdr:cNvPr>
        <xdr:cNvCxnSpPr/>
      </xdr:nvCxnSpPr>
      <xdr:spPr>
        <a:xfrm rot="16200000" flipH="1">
          <a:off x="17412988" y="20640282"/>
          <a:ext cx="3539154" cy="2491518"/>
        </a:xfrm>
        <a:prstGeom prst="bentConnector3">
          <a:avLst>
            <a:gd name="adj1" fmla="val 100371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42360</xdr:colOff>
      <xdr:row>130</xdr:row>
      <xdr:rowOff>74967</xdr:rowOff>
    </xdr:from>
    <xdr:to>
      <xdr:col>34</xdr:col>
      <xdr:colOff>152650</xdr:colOff>
      <xdr:row>133</xdr:row>
      <xdr:rowOff>132662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B17657D1-1EBC-4776-964C-201A05B02AC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381036" y="23371996"/>
          <a:ext cx="703978" cy="605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115481</xdr:colOff>
      <xdr:row>131</xdr:row>
      <xdr:rowOff>170856</xdr:rowOff>
    </xdr:from>
    <xdr:to>
      <xdr:col>36</xdr:col>
      <xdr:colOff>0</xdr:colOff>
      <xdr:row>132</xdr:row>
      <xdr:rowOff>0</xdr:rowOff>
    </xdr:to>
    <xdr:cxnSp macro="">
      <xdr:nvCxnSpPr>
        <xdr:cNvPr id="183" name="Straight Arrow Connector 182">
          <a:extLst>
            <a:ext uri="{FF2B5EF4-FFF2-40B4-BE49-F238E27FC236}">
              <a16:creationId xmlns:a16="http://schemas.microsoft.com/office/drawing/2014/main" id="{EBB3F111-E5B0-4123-AE47-804D353C1156}"/>
            </a:ext>
          </a:extLst>
        </xdr:cNvPr>
        <xdr:cNvCxnSpPr>
          <a:cxnSpLocks/>
        </xdr:cNvCxnSpPr>
      </xdr:nvCxnSpPr>
      <xdr:spPr>
        <a:xfrm>
          <a:off x="21059275" y="23647180"/>
          <a:ext cx="1094754" cy="843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151</xdr:row>
      <xdr:rowOff>80010</xdr:rowOff>
    </xdr:from>
    <xdr:to>
      <xdr:col>65</xdr:col>
      <xdr:colOff>495300</xdr:colOff>
      <xdr:row>158</xdr:row>
      <xdr:rowOff>167640</xdr:rowOff>
    </xdr:to>
    <xdr:sp macro="" textlink="">
      <xdr:nvSpPr>
        <xdr:cNvPr id="185" name="Flowchart: Manual Operation 184">
          <a:extLst>
            <a:ext uri="{FF2B5EF4-FFF2-40B4-BE49-F238E27FC236}">
              <a16:creationId xmlns:a16="http://schemas.microsoft.com/office/drawing/2014/main" id="{FF0D536C-B3CE-40A4-A970-E2B7689F994E}"/>
            </a:ext>
          </a:extLst>
        </xdr:cNvPr>
        <xdr:cNvSpPr/>
      </xdr:nvSpPr>
      <xdr:spPr>
        <a:xfrm rot="5400000">
          <a:off x="38968848" y="20413028"/>
          <a:ext cx="1344593" cy="1897604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147</xdr:row>
      <xdr:rowOff>38100</xdr:rowOff>
    </xdr:from>
    <xdr:to>
      <xdr:col>64</xdr:col>
      <xdr:colOff>188595</xdr:colOff>
      <xdr:row>152</xdr:row>
      <xdr:rowOff>33909</xdr:rowOff>
    </xdr:to>
    <xdr:cxnSp macro="">
      <xdr:nvCxnSpPr>
        <xdr:cNvPr id="186" name="Connector: Elbow 185">
          <a:extLst>
            <a:ext uri="{FF2B5EF4-FFF2-40B4-BE49-F238E27FC236}">
              <a16:creationId xmlns:a16="http://schemas.microsoft.com/office/drawing/2014/main" id="{875164FA-C1F6-4585-BF19-EF2AF481140C}"/>
            </a:ext>
          </a:extLst>
        </xdr:cNvPr>
        <xdr:cNvCxnSpPr>
          <a:endCxn id="185" idx="1"/>
        </xdr:cNvCxnSpPr>
      </xdr:nvCxnSpPr>
      <xdr:spPr>
        <a:xfrm>
          <a:off x="37910060" y="19928541"/>
          <a:ext cx="1768064" cy="89037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22748</xdr:colOff>
      <xdr:row>158</xdr:row>
      <xdr:rowOff>36990</xdr:rowOff>
    </xdr:from>
    <xdr:to>
      <xdr:col>66</xdr:col>
      <xdr:colOff>56032</xdr:colOff>
      <xdr:row>166</xdr:row>
      <xdr:rowOff>134472</xdr:rowOff>
    </xdr:to>
    <xdr:cxnSp macro="">
      <xdr:nvCxnSpPr>
        <xdr:cNvPr id="188" name="Connector: Elbow 187">
          <a:extLst>
            <a:ext uri="{FF2B5EF4-FFF2-40B4-BE49-F238E27FC236}">
              <a16:creationId xmlns:a16="http://schemas.microsoft.com/office/drawing/2014/main" id="{63973999-6568-46B3-B9D8-539B3D897A96}"/>
            </a:ext>
          </a:extLst>
        </xdr:cNvPr>
        <xdr:cNvCxnSpPr>
          <a:stCxn id="185" idx="3"/>
        </xdr:cNvCxnSpPr>
      </xdr:nvCxnSpPr>
      <xdr:spPr>
        <a:xfrm rot="16200000" flipH="1">
          <a:off x="43346208" y="28498413"/>
          <a:ext cx="1531835" cy="1243519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495301</xdr:colOff>
      <xdr:row>155</xdr:row>
      <xdr:rowOff>22412</xdr:rowOff>
    </xdr:from>
    <xdr:to>
      <xdr:col>69</xdr:col>
      <xdr:colOff>683559</xdr:colOff>
      <xdr:row>155</xdr:row>
      <xdr:rowOff>37036</xdr:rowOff>
    </xdr:to>
    <xdr:cxnSp macro="">
      <xdr:nvCxnSpPr>
        <xdr:cNvPr id="190" name="Straight Arrow Connector 189">
          <a:extLst>
            <a:ext uri="{FF2B5EF4-FFF2-40B4-BE49-F238E27FC236}">
              <a16:creationId xmlns:a16="http://schemas.microsoft.com/office/drawing/2014/main" id="{60DCA903-B2D4-4A3C-966C-E33C052E7775}"/>
            </a:ext>
          </a:extLst>
        </xdr:cNvPr>
        <xdr:cNvCxnSpPr>
          <a:stCxn id="185" idx="0"/>
        </xdr:cNvCxnSpPr>
      </xdr:nvCxnSpPr>
      <xdr:spPr>
        <a:xfrm flipV="1">
          <a:off x="44568036" y="27801794"/>
          <a:ext cx="3101788" cy="14624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392206</xdr:colOff>
      <xdr:row>125</xdr:row>
      <xdr:rowOff>33617</xdr:rowOff>
    </xdr:from>
    <xdr:to>
      <xdr:col>33</xdr:col>
      <xdr:colOff>392444</xdr:colOff>
      <xdr:row>130</xdr:row>
      <xdr:rowOff>74967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5D61B78A-3E16-4930-9691-963A1E4E36B5}"/>
            </a:ext>
          </a:extLst>
        </xdr:cNvPr>
        <xdr:cNvCxnSpPr>
          <a:cxnSpLocks/>
          <a:endCxn id="182" idx="0"/>
        </xdr:cNvCxnSpPr>
      </xdr:nvCxnSpPr>
      <xdr:spPr>
        <a:xfrm>
          <a:off x="20730882" y="22434176"/>
          <a:ext cx="238" cy="93782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381000</xdr:colOff>
      <xdr:row>133</xdr:row>
      <xdr:rowOff>136472</xdr:rowOff>
    </xdr:from>
    <xdr:to>
      <xdr:col>33</xdr:col>
      <xdr:colOff>392444</xdr:colOff>
      <xdr:row>138</xdr:row>
      <xdr:rowOff>134471</xdr:rowOff>
    </xdr:to>
    <xdr:cxnSp macro="">
      <xdr:nvCxnSpPr>
        <xdr:cNvPr id="195" name="Straight Arrow Connector 194">
          <a:extLst>
            <a:ext uri="{FF2B5EF4-FFF2-40B4-BE49-F238E27FC236}">
              <a16:creationId xmlns:a16="http://schemas.microsoft.com/office/drawing/2014/main" id="{22EE4FEF-5705-4C04-B4F2-CB0F07B5EDE7}"/>
            </a:ext>
          </a:extLst>
        </xdr:cNvPr>
        <xdr:cNvCxnSpPr>
          <a:cxnSpLocks/>
          <a:stCxn id="182" idx="2"/>
        </xdr:cNvCxnSpPr>
      </xdr:nvCxnSpPr>
      <xdr:spPr>
        <a:xfrm flipH="1">
          <a:off x="20719676" y="23971384"/>
          <a:ext cx="11444" cy="89446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437519</xdr:colOff>
      <xdr:row>22</xdr:row>
      <xdr:rowOff>0</xdr:rowOff>
    </xdr:from>
    <xdr:to>
      <xdr:col>25</xdr:col>
      <xdr:colOff>9526</xdr:colOff>
      <xdr:row>24</xdr:row>
      <xdr:rowOff>172492</xdr:rowOff>
    </xdr:to>
    <xdr:cxnSp macro="">
      <xdr:nvCxnSpPr>
        <xdr:cNvPr id="200" name="Connector: Elbow 199">
          <a:extLst>
            <a:ext uri="{FF2B5EF4-FFF2-40B4-BE49-F238E27FC236}">
              <a16:creationId xmlns:a16="http://schemas.microsoft.com/office/drawing/2014/main" id="{E6E268E9-6AD7-4848-8FEF-10557E4FE915}"/>
            </a:ext>
          </a:extLst>
        </xdr:cNvPr>
        <xdr:cNvCxnSpPr/>
      </xdr:nvCxnSpPr>
      <xdr:spPr>
        <a:xfrm rot="10800000" flipV="1">
          <a:off x="12277094" y="3981450"/>
          <a:ext cx="3324857" cy="534442"/>
        </a:xfrm>
        <a:prstGeom prst="bentConnector3">
          <a:avLst>
            <a:gd name="adj1" fmla="val 5857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625322</xdr:colOff>
      <xdr:row>105</xdr:row>
      <xdr:rowOff>180975</xdr:rowOff>
    </xdr:from>
    <xdr:to>
      <xdr:col>71</xdr:col>
      <xdr:colOff>253</xdr:colOff>
      <xdr:row>109</xdr:row>
      <xdr:rowOff>76746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15A98612-4656-4D54-8039-F081CB5A4A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3525922" y="20164425"/>
          <a:ext cx="715575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70</xdr:col>
      <xdr:colOff>247650</xdr:colOff>
      <xdr:row>103</xdr:row>
      <xdr:rowOff>19050</xdr:rowOff>
    </xdr:from>
    <xdr:to>
      <xdr:col>70</xdr:col>
      <xdr:colOff>249685</xdr:colOff>
      <xdr:row>105</xdr:row>
      <xdr:rowOff>180975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1DE7A3D1-A472-4392-BC65-AF49D1F2F5CA}"/>
            </a:ext>
          </a:extLst>
        </xdr:cNvPr>
        <xdr:cNvCxnSpPr>
          <a:cxnSpLocks/>
          <a:endCxn id="93" idx="0"/>
        </xdr:cNvCxnSpPr>
      </xdr:nvCxnSpPr>
      <xdr:spPr>
        <a:xfrm>
          <a:off x="43881675" y="19621500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249685</xdr:colOff>
      <xdr:row>109</xdr:row>
      <xdr:rowOff>63411</xdr:rowOff>
    </xdr:from>
    <xdr:to>
      <xdr:col>70</xdr:col>
      <xdr:colOff>257175</xdr:colOff>
      <xdr:row>111</xdr:row>
      <xdr:rowOff>114300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CFFCADA5-C46F-4F7D-A708-97ADFF2E2D03}"/>
            </a:ext>
          </a:extLst>
        </xdr:cNvPr>
        <xdr:cNvCxnSpPr>
          <a:cxnSpLocks/>
          <a:stCxn id="93" idx="2"/>
        </xdr:cNvCxnSpPr>
      </xdr:nvCxnSpPr>
      <xdr:spPr>
        <a:xfrm>
          <a:off x="43883710" y="20808861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291192</xdr:colOff>
      <xdr:row>199</xdr:row>
      <xdr:rowOff>6818</xdr:rowOff>
    </xdr:from>
    <xdr:to>
      <xdr:col>60</xdr:col>
      <xdr:colOff>596900</xdr:colOff>
      <xdr:row>211</xdr:row>
      <xdr:rowOff>115675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E4BAA53C-DF4C-4601-99E8-D360370C163E}"/>
            </a:ext>
          </a:extLst>
        </xdr:cNvPr>
        <xdr:cNvSpPr/>
      </xdr:nvSpPr>
      <xdr:spPr>
        <a:xfrm>
          <a:off x="7558767" y="5798018"/>
          <a:ext cx="915308" cy="239485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Evaporator</a:t>
          </a:r>
        </a:p>
      </xdr:txBody>
    </xdr:sp>
    <xdr:clientData/>
  </xdr:twoCellAnchor>
  <xdr:twoCellAnchor>
    <xdr:from>
      <xdr:col>64</xdr:col>
      <xdr:colOff>34925</xdr:colOff>
      <xdr:row>185</xdr:row>
      <xdr:rowOff>31764</xdr:rowOff>
    </xdr:from>
    <xdr:to>
      <xdr:col>65</xdr:col>
      <xdr:colOff>571955</xdr:colOff>
      <xdr:row>189</xdr:row>
      <xdr:rowOff>141754</xdr:rowOff>
    </xdr:to>
    <xdr:sp macro="" textlink="">
      <xdr:nvSpPr>
        <xdr:cNvPr id="199" name="Flowchart: Manual Operation 198">
          <a:extLst>
            <a:ext uri="{FF2B5EF4-FFF2-40B4-BE49-F238E27FC236}">
              <a16:creationId xmlns:a16="http://schemas.microsoft.com/office/drawing/2014/main" id="{02B3556D-A07C-466F-A09A-1040024FA7D9}"/>
            </a:ext>
          </a:extLst>
        </xdr:cNvPr>
        <xdr:cNvSpPr/>
      </xdr:nvSpPr>
      <xdr:spPr>
        <a:xfrm rot="5400000">
          <a:off x="10840245" y="3018644"/>
          <a:ext cx="871990" cy="114663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ORC Turbine</a:t>
          </a:r>
          <a:endParaRPr lang="en-NZ">
            <a:effectLst/>
          </a:endParaRPr>
        </a:p>
        <a:p>
          <a:pPr algn="l"/>
          <a:endParaRPr lang="en-NZ" sz="1100"/>
        </a:p>
      </xdr:txBody>
    </xdr:sp>
    <xdr:clientData/>
  </xdr:twoCellAnchor>
  <xdr:twoCellAnchor>
    <xdr:from>
      <xdr:col>60</xdr:col>
      <xdr:colOff>139246</xdr:colOff>
      <xdr:row>187</xdr:row>
      <xdr:rowOff>86760</xdr:rowOff>
    </xdr:from>
    <xdr:to>
      <xdr:col>64</xdr:col>
      <xdr:colOff>34925</xdr:colOff>
      <xdr:row>199</xdr:row>
      <xdr:rowOff>6819</xdr:rowOff>
    </xdr:to>
    <xdr:cxnSp macro="">
      <xdr:nvCxnSpPr>
        <xdr:cNvPr id="201" name="Connector: Elbow 200">
          <a:extLst>
            <a:ext uri="{FF2B5EF4-FFF2-40B4-BE49-F238E27FC236}">
              <a16:creationId xmlns:a16="http://schemas.microsoft.com/office/drawing/2014/main" id="{96DE63F7-F307-43EE-92B6-A61E9E1BBAE2}"/>
            </a:ext>
          </a:extLst>
        </xdr:cNvPr>
        <xdr:cNvCxnSpPr>
          <a:stCxn id="198" idx="0"/>
          <a:endCxn id="199" idx="2"/>
        </xdr:cNvCxnSpPr>
      </xdr:nvCxnSpPr>
      <xdr:spPr>
        <a:xfrm rot="5400000" flipH="1" flipV="1">
          <a:off x="8256643" y="3351738"/>
          <a:ext cx="2206059" cy="2686504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571955</xdr:colOff>
      <xdr:row>187</xdr:row>
      <xdr:rowOff>86759</xdr:rowOff>
    </xdr:from>
    <xdr:to>
      <xdr:col>69</xdr:col>
      <xdr:colOff>146050</xdr:colOff>
      <xdr:row>187</xdr:row>
      <xdr:rowOff>95264</xdr:rowOff>
    </xdr:to>
    <xdr:cxnSp macro="">
      <xdr:nvCxnSpPr>
        <xdr:cNvPr id="202" name="Straight Arrow Connector 201">
          <a:extLst>
            <a:ext uri="{FF2B5EF4-FFF2-40B4-BE49-F238E27FC236}">
              <a16:creationId xmlns:a16="http://schemas.microsoft.com/office/drawing/2014/main" id="{9771EBBC-6B8D-437A-84C6-33DF9FBFB932}"/>
            </a:ext>
          </a:extLst>
        </xdr:cNvPr>
        <xdr:cNvCxnSpPr>
          <a:cxnSpLocks/>
          <a:stCxn id="199" idx="0"/>
        </xdr:cNvCxnSpPr>
      </xdr:nvCxnSpPr>
      <xdr:spPr>
        <a:xfrm>
          <a:off x="11849555" y="3591959"/>
          <a:ext cx="2393495" cy="8505"/>
        </a:xfrm>
        <a:prstGeom prst="straightConnector1">
          <a:avLst/>
        </a:prstGeom>
        <a:ln w="57150">
          <a:solidFill>
            <a:srgbClr val="FFC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608240</xdr:colOff>
      <xdr:row>189</xdr:row>
      <xdr:rowOff>54555</xdr:rowOff>
    </xdr:from>
    <xdr:to>
      <xdr:col>68</xdr:col>
      <xdr:colOff>585788</xdr:colOff>
      <xdr:row>204</xdr:row>
      <xdr:rowOff>47639</xdr:rowOff>
    </xdr:to>
    <xdr:cxnSp macro="">
      <xdr:nvCxnSpPr>
        <xdr:cNvPr id="204" name="Connector: Elbow 203">
          <a:extLst>
            <a:ext uri="{FF2B5EF4-FFF2-40B4-BE49-F238E27FC236}">
              <a16:creationId xmlns:a16="http://schemas.microsoft.com/office/drawing/2014/main" id="{B68776EE-F23A-422F-B561-82C0423913CD}"/>
            </a:ext>
          </a:extLst>
        </xdr:cNvPr>
        <xdr:cNvCxnSpPr>
          <a:cxnSpLocks/>
          <a:stCxn id="199" idx="3"/>
        </xdr:cNvCxnSpPr>
      </xdr:nvCxnSpPr>
      <xdr:spPr>
        <a:xfrm rot="16200000" flipH="1">
          <a:off x="11249422" y="3967573"/>
          <a:ext cx="2850584" cy="2796948"/>
        </a:xfrm>
        <a:prstGeom prst="bentConnector3">
          <a:avLst>
            <a:gd name="adj1" fmla="val 57685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139247</xdr:colOff>
      <xdr:row>205</xdr:row>
      <xdr:rowOff>179343</xdr:rowOff>
    </xdr:from>
    <xdr:to>
      <xdr:col>68</xdr:col>
      <xdr:colOff>209551</xdr:colOff>
      <xdr:row>211</xdr:row>
      <xdr:rowOff>115675</xdr:rowOff>
    </xdr:to>
    <xdr:cxnSp macro="">
      <xdr:nvCxnSpPr>
        <xdr:cNvPr id="205" name="Connector: Elbow 204">
          <a:extLst>
            <a:ext uri="{FF2B5EF4-FFF2-40B4-BE49-F238E27FC236}">
              <a16:creationId xmlns:a16="http://schemas.microsoft.com/office/drawing/2014/main" id="{5F5C7B81-DBE5-4CBF-8BF0-71F385176BDE}"/>
            </a:ext>
          </a:extLst>
        </xdr:cNvPr>
        <xdr:cNvCxnSpPr>
          <a:cxnSpLocks/>
          <a:stCxn id="221" idx="1"/>
          <a:endCxn id="198" idx="2"/>
        </xdr:cNvCxnSpPr>
      </xdr:nvCxnSpPr>
      <xdr:spPr>
        <a:xfrm rot="10800000" flipV="1">
          <a:off x="37467722" y="39250893"/>
          <a:ext cx="5432879" cy="1079332"/>
        </a:xfrm>
        <a:prstGeom prst="bentConnector4">
          <a:avLst>
            <a:gd name="adj1" fmla="val 45788"/>
            <a:gd name="adj2" fmla="val 121180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476249</xdr:colOff>
      <xdr:row>219</xdr:row>
      <xdr:rowOff>88913</xdr:rowOff>
    </xdr:from>
    <xdr:to>
      <xdr:col>71</xdr:col>
      <xdr:colOff>146050</xdr:colOff>
      <xdr:row>224</xdr:row>
      <xdr:rowOff>9539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A778B06B-4867-4306-B76C-AC23B2FAE868}"/>
            </a:ext>
          </a:extLst>
        </xdr:cNvPr>
        <xdr:cNvSpPr/>
      </xdr:nvSpPr>
      <xdr:spPr>
        <a:xfrm>
          <a:off x="41757599" y="41827463"/>
          <a:ext cx="3032126" cy="873126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                            ORC Condenser</a:t>
          </a:r>
        </a:p>
      </xdr:txBody>
    </xdr:sp>
    <xdr:clientData/>
  </xdr:twoCellAnchor>
  <xdr:twoCellAnchor>
    <xdr:from>
      <xdr:col>68</xdr:col>
      <xdr:colOff>567338</xdr:colOff>
      <xdr:row>207</xdr:row>
      <xdr:rowOff>120561</xdr:rowOff>
    </xdr:from>
    <xdr:to>
      <xdr:col>68</xdr:col>
      <xdr:colOff>582612</xdr:colOff>
      <xdr:row>219</xdr:row>
      <xdr:rowOff>88913</xdr:rowOff>
    </xdr:to>
    <xdr:cxnSp macro="">
      <xdr:nvCxnSpPr>
        <xdr:cNvPr id="207" name="Straight Arrow Connector 206">
          <a:extLst>
            <a:ext uri="{FF2B5EF4-FFF2-40B4-BE49-F238E27FC236}">
              <a16:creationId xmlns:a16="http://schemas.microsoft.com/office/drawing/2014/main" id="{FBFB0A70-11D4-48EF-8FAC-76CC19E9CC43}"/>
            </a:ext>
          </a:extLst>
        </xdr:cNvPr>
        <xdr:cNvCxnSpPr>
          <a:cxnSpLocks/>
          <a:stCxn id="221" idx="2"/>
          <a:endCxn id="206" idx="0"/>
        </xdr:cNvCxnSpPr>
      </xdr:nvCxnSpPr>
      <xdr:spPr>
        <a:xfrm>
          <a:off x="43258388" y="39573111"/>
          <a:ext cx="15274" cy="2254352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76</xdr:col>
      <xdr:colOff>34925</xdr:colOff>
      <xdr:row>220</xdr:row>
      <xdr:rowOff>31764</xdr:rowOff>
    </xdr:from>
    <xdr:to>
      <xdr:col>76</xdr:col>
      <xdr:colOff>848924</xdr:colOff>
      <xdr:row>223</xdr:row>
      <xdr:rowOff>41649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A928E3E0-12B8-4CF4-B474-E0D446BEC363}"/>
            </a:ext>
          </a:extLst>
        </xdr:cNvPr>
        <xdr:cNvSpPr/>
      </xdr:nvSpPr>
      <xdr:spPr>
        <a:xfrm>
          <a:off x="19361150" y="9823464"/>
          <a:ext cx="813999" cy="58138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75</xdr:col>
      <xdr:colOff>596898</xdr:colOff>
      <xdr:row>222</xdr:row>
      <xdr:rowOff>142889</xdr:rowOff>
    </xdr:from>
    <xdr:to>
      <xdr:col>77</xdr:col>
      <xdr:colOff>31750</xdr:colOff>
      <xdr:row>224</xdr:row>
      <xdr:rowOff>158750</xdr:rowOff>
    </xdr:to>
    <xdr:sp macro="" textlink="">
      <xdr:nvSpPr>
        <xdr:cNvPr id="209" name="Flowchart: Manual Operation 208">
          <a:extLst>
            <a:ext uri="{FF2B5EF4-FFF2-40B4-BE49-F238E27FC236}">
              <a16:creationId xmlns:a16="http://schemas.microsoft.com/office/drawing/2014/main" id="{FDA23DB4-5441-4A13-8E19-168BB8B4A67F}"/>
            </a:ext>
          </a:extLst>
        </xdr:cNvPr>
        <xdr:cNvSpPr/>
      </xdr:nvSpPr>
      <xdr:spPr>
        <a:xfrm rot="10800000">
          <a:off x="19313523" y="10315589"/>
          <a:ext cx="920752" cy="396861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71</xdr:col>
      <xdr:colOff>146050</xdr:colOff>
      <xdr:row>221</xdr:row>
      <xdr:rowOff>131957</xdr:rowOff>
    </xdr:from>
    <xdr:to>
      <xdr:col>76</xdr:col>
      <xdr:colOff>34925</xdr:colOff>
      <xdr:row>221</xdr:row>
      <xdr:rowOff>144476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A5F104A-D277-4358-AAFC-6E9D527E3E55}"/>
            </a:ext>
          </a:extLst>
        </xdr:cNvPr>
        <xdr:cNvCxnSpPr>
          <a:stCxn id="206" idx="3"/>
          <a:endCxn id="208" idx="2"/>
        </xdr:cNvCxnSpPr>
      </xdr:nvCxnSpPr>
      <xdr:spPr>
        <a:xfrm flipV="1">
          <a:off x="44789725" y="42251507"/>
          <a:ext cx="3355975" cy="1251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315525</xdr:colOff>
      <xdr:row>205</xdr:row>
      <xdr:rowOff>179343</xdr:rowOff>
    </xdr:from>
    <xdr:to>
      <xdr:col>77</xdr:col>
      <xdr:colOff>1199</xdr:colOff>
      <xdr:row>221</xdr:row>
      <xdr:rowOff>131957</xdr:rowOff>
    </xdr:to>
    <xdr:cxnSp macro="">
      <xdr:nvCxnSpPr>
        <xdr:cNvPr id="211" name="Connector: Elbow 210">
          <a:extLst>
            <a:ext uri="{FF2B5EF4-FFF2-40B4-BE49-F238E27FC236}">
              <a16:creationId xmlns:a16="http://schemas.microsoft.com/office/drawing/2014/main" id="{9FD663EC-BBDD-4AEF-A4DB-7600A0B5428B}"/>
            </a:ext>
          </a:extLst>
        </xdr:cNvPr>
        <xdr:cNvCxnSpPr>
          <a:cxnSpLocks/>
          <a:stCxn id="208" idx="6"/>
          <a:endCxn id="221" idx="3"/>
        </xdr:cNvCxnSpPr>
      </xdr:nvCxnSpPr>
      <xdr:spPr>
        <a:xfrm flipH="1" flipV="1">
          <a:off x="43616175" y="39250893"/>
          <a:ext cx="5105399" cy="3000614"/>
        </a:xfrm>
        <a:prstGeom prst="bentConnector3">
          <a:avLst>
            <a:gd name="adj1" fmla="val -4478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61232</xdr:colOff>
      <xdr:row>201</xdr:row>
      <xdr:rowOff>133350</xdr:rowOff>
    </xdr:from>
    <xdr:to>
      <xdr:col>59</xdr:col>
      <xdr:colOff>319768</xdr:colOff>
      <xdr:row>201</xdr:row>
      <xdr:rowOff>146957</xdr:rowOff>
    </xdr:to>
    <xdr:cxnSp macro="">
      <xdr:nvCxnSpPr>
        <xdr:cNvPr id="214" name="Straight Arrow Connector 213">
          <a:extLst>
            <a:ext uri="{FF2B5EF4-FFF2-40B4-BE49-F238E27FC236}">
              <a16:creationId xmlns:a16="http://schemas.microsoft.com/office/drawing/2014/main" id="{31DDB430-8E21-4AFF-AA4E-26967B24A043}"/>
            </a:ext>
          </a:extLst>
        </xdr:cNvPr>
        <xdr:cNvCxnSpPr>
          <a:cxnSpLocks/>
        </xdr:cNvCxnSpPr>
      </xdr:nvCxnSpPr>
      <xdr:spPr>
        <a:xfrm>
          <a:off x="35560907" y="38442900"/>
          <a:ext cx="1477736" cy="13607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600075</xdr:colOff>
      <xdr:row>209</xdr:row>
      <xdr:rowOff>85725</xdr:rowOff>
    </xdr:from>
    <xdr:to>
      <xdr:col>59</xdr:col>
      <xdr:colOff>323850</xdr:colOff>
      <xdr:row>209</xdr:row>
      <xdr:rowOff>85725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A175E034-5E5A-4772-8EB0-5CA8AF8A2A15}"/>
            </a:ext>
          </a:extLst>
        </xdr:cNvPr>
        <xdr:cNvCxnSpPr>
          <a:cxnSpLocks/>
        </xdr:cNvCxnSpPr>
      </xdr:nvCxnSpPr>
      <xdr:spPr>
        <a:xfrm flipH="1">
          <a:off x="35490150" y="39919275"/>
          <a:ext cx="1552575" cy="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209550</xdr:colOff>
      <xdr:row>204</xdr:row>
      <xdr:rowOff>47625</xdr:rowOff>
    </xdr:from>
    <xdr:to>
      <xdr:col>69</xdr:col>
      <xdr:colOff>323141</xdr:colOff>
      <xdr:row>207</xdr:row>
      <xdr:rowOff>152946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450A0056-A52C-4AAD-9178-E07FBA32AB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2900600" y="38928675"/>
          <a:ext cx="715575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52914</xdr:colOff>
      <xdr:row>107</xdr:row>
      <xdr:rowOff>42332</xdr:rowOff>
    </xdr:from>
    <xdr:to>
      <xdr:col>10</xdr:col>
      <xdr:colOff>179297</xdr:colOff>
      <xdr:row>113</xdr:row>
      <xdr:rowOff>78444</xdr:rowOff>
    </xdr:to>
    <xdr:cxnSp macro="">
      <xdr:nvCxnSpPr>
        <xdr:cNvPr id="215" name="Connector: Elbow 214">
          <a:extLst>
            <a:ext uri="{FF2B5EF4-FFF2-40B4-BE49-F238E27FC236}">
              <a16:creationId xmlns:a16="http://schemas.microsoft.com/office/drawing/2014/main" id="{07CB8C02-1859-4CA7-8CB3-5FEFA9857F90}"/>
            </a:ext>
          </a:extLst>
        </xdr:cNvPr>
        <xdr:cNvCxnSpPr/>
      </xdr:nvCxnSpPr>
      <xdr:spPr>
        <a:xfrm>
          <a:off x="5241238" y="20403420"/>
          <a:ext cx="1459883" cy="1179112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446133</xdr:colOff>
      <xdr:row>131</xdr:row>
      <xdr:rowOff>74930</xdr:rowOff>
    </xdr:from>
    <xdr:to>
      <xdr:col>21</xdr:col>
      <xdr:colOff>187597</xdr:colOff>
      <xdr:row>140</xdr:row>
      <xdr:rowOff>189230</xdr:rowOff>
    </xdr:to>
    <xdr:sp macro="" textlink="">
      <xdr:nvSpPr>
        <xdr:cNvPr id="92" name="Flowchart: Manual Operation 91">
          <a:extLst>
            <a:ext uri="{FF2B5EF4-FFF2-40B4-BE49-F238E27FC236}">
              <a16:creationId xmlns:a16="http://schemas.microsoft.com/office/drawing/2014/main" id="{044F0BFB-202B-4D20-8C3E-A606C69EC332}"/>
            </a:ext>
          </a:extLst>
        </xdr:cNvPr>
        <xdr:cNvSpPr/>
      </xdr:nvSpPr>
      <xdr:spPr>
        <a:xfrm rot="5400000">
          <a:off x="11356340" y="24706580"/>
          <a:ext cx="1828800" cy="2449286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17</xdr:col>
      <xdr:colOff>704576</xdr:colOff>
      <xdr:row>134</xdr:row>
      <xdr:rowOff>189411</xdr:rowOff>
    </xdr:from>
    <xdr:to>
      <xdr:col>21</xdr:col>
      <xdr:colOff>482780</xdr:colOff>
      <xdr:row>137</xdr:row>
      <xdr:rowOff>70756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7A557156-FB2F-4BD8-8717-2C13D2B45CD9}"/>
            </a:ext>
          </a:extLst>
        </xdr:cNvPr>
        <xdr:cNvSpPr txBox="1"/>
      </xdr:nvSpPr>
      <xdr:spPr>
        <a:xfrm>
          <a:off x="11304540" y="25702804"/>
          <a:ext cx="2486026" cy="452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ORC</a:t>
          </a:r>
        </a:p>
      </xdr:txBody>
    </xdr:sp>
    <xdr:clientData/>
  </xdr:twoCellAnchor>
  <xdr:twoCellAnchor>
    <xdr:from>
      <xdr:col>15</xdr:col>
      <xdr:colOff>40821</xdr:colOff>
      <xdr:row>116</xdr:row>
      <xdr:rowOff>0</xdr:rowOff>
    </xdr:from>
    <xdr:to>
      <xdr:col>19</xdr:col>
      <xdr:colOff>187596</xdr:colOff>
      <xdr:row>132</xdr:row>
      <xdr:rowOff>67310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5BA12B68-6CFD-461F-88ED-F98458687E51}"/>
            </a:ext>
          </a:extLst>
        </xdr:cNvPr>
        <xdr:cNvCxnSpPr>
          <a:endCxn id="92" idx="1"/>
        </xdr:cNvCxnSpPr>
      </xdr:nvCxnSpPr>
      <xdr:spPr>
        <a:xfrm rot="16200000" flipH="1">
          <a:off x="9285786" y="22214749"/>
          <a:ext cx="3115310" cy="2854597"/>
        </a:xfrm>
        <a:prstGeom prst="bentConnector3">
          <a:avLst>
            <a:gd name="adj1" fmla="val 207"/>
          </a:avLst>
        </a:prstGeom>
        <a:ln w="38100">
          <a:solidFill>
            <a:schemeClr val="accent3"/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135</xdr:row>
      <xdr:rowOff>176893</xdr:rowOff>
    </xdr:from>
    <xdr:to>
      <xdr:col>22</xdr:col>
      <xdr:colOff>462643</xdr:colOff>
      <xdr:row>136</xdr:row>
      <xdr:rowOff>0</xdr:rowOff>
    </xdr:to>
    <xdr:cxnSp macro="">
      <xdr:nvCxnSpPr>
        <xdr:cNvPr id="193" name="Straight Arrow Connector 192">
          <a:extLst>
            <a:ext uri="{FF2B5EF4-FFF2-40B4-BE49-F238E27FC236}">
              <a16:creationId xmlns:a16="http://schemas.microsoft.com/office/drawing/2014/main" id="{B83C4C5D-703A-4ADB-8F24-EDA2B6B03D61}"/>
            </a:ext>
          </a:extLst>
        </xdr:cNvPr>
        <xdr:cNvCxnSpPr>
          <a:cxnSpLocks/>
        </xdr:cNvCxnSpPr>
      </xdr:nvCxnSpPr>
      <xdr:spPr>
        <a:xfrm flipV="1">
          <a:off x="13403036" y="25880786"/>
          <a:ext cx="1047750" cy="13607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253</xdr:row>
      <xdr:rowOff>80010</xdr:rowOff>
    </xdr:from>
    <xdr:to>
      <xdr:col>65</xdr:col>
      <xdr:colOff>495300</xdr:colOff>
      <xdr:row>260</xdr:row>
      <xdr:rowOff>167640</xdr:rowOff>
    </xdr:to>
    <xdr:sp macro="" textlink="">
      <xdr:nvSpPr>
        <xdr:cNvPr id="179" name="Flowchart: Manual Operation 178">
          <a:extLst>
            <a:ext uri="{FF2B5EF4-FFF2-40B4-BE49-F238E27FC236}">
              <a16:creationId xmlns:a16="http://schemas.microsoft.com/office/drawing/2014/main" id="{04DE1162-671F-412D-8BF1-782EEECC163E}"/>
            </a:ext>
          </a:extLst>
        </xdr:cNvPr>
        <xdr:cNvSpPr/>
      </xdr:nvSpPr>
      <xdr:spPr>
        <a:xfrm rot="5400000">
          <a:off x="40252174" y="28470702"/>
          <a:ext cx="1421130" cy="2123122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249</xdr:row>
      <xdr:rowOff>38100</xdr:rowOff>
    </xdr:from>
    <xdr:to>
      <xdr:col>64</xdr:col>
      <xdr:colOff>188595</xdr:colOff>
      <xdr:row>254</xdr:row>
      <xdr:rowOff>33909</xdr:rowOff>
    </xdr:to>
    <xdr:cxnSp macro="">
      <xdr:nvCxnSpPr>
        <xdr:cNvPr id="181" name="Connector: Elbow 180">
          <a:extLst>
            <a:ext uri="{FF2B5EF4-FFF2-40B4-BE49-F238E27FC236}">
              <a16:creationId xmlns:a16="http://schemas.microsoft.com/office/drawing/2014/main" id="{180DE205-72CD-470A-B5B9-6902AD94C7A3}"/>
            </a:ext>
          </a:extLst>
        </xdr:cNvPr>
        <xdr:cNvCxnSpPr>
          <a:endCxn id="179" idx="1"/>
        </xdr:cNvCxnSpPr>
      </xdr:nvCxnSpPr>
      <xdr:spPr>
        <a:xfrm>
          <a:off x="39114889" y="44281725"/>
          <a:ext cx="1995487" cy="948309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285750</xdr:colOff>
      <xdr:row>247</xdr:row>
      <xdr:rowOff>95250</xdr:rowOff>
    </xdr:from>
    <xdr:to>
      <xdr:col>61</xdr:col>
      <xdr:colOff>419824</xdr:colOff>
      <xdr:row>251</xdr:row>
      <xdr:rowOff>322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3C3D96B-194B-415B-A91D-8C7EF74165A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38481000" y="43957875"/>
          <a:ext cx="720337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60</xdr:col>
      <xdr:colOff>592931</xdr:colOff>
      <xdr:row>244</xdr:row>
      <xdr:rowOff>126207</xdr:rowOff>
    </xdr:from>
    <xdr:to>
      <xdr:col>60</xdr:col>
      <xdr:colOff>594966</xdr:colOff>
      <xdr:row>247</xdr:row>
      <xdr:rowOff>97632</xdr:rowOff>
    </xdr:to>
    <xdr:cxnSp macro="">
      <xdr:nvCxnSpPr>
        <xdr:cNvPr id="213" name="Straight Arrow Connector 212">
          <a:extLst>
            <a:ext uri="{FF2B5EF4-FFF2-40B4-BE49-F238E27FC236}">
              <a16:creationId xmlns:a16="http://schemas.microsoft.com/office/drawing/2014/main" id="{107CD7AD-4D9B-4694-980F-6E5C50E6C719}"/>
            </a:ext>
          </a:extLst>
        </xdr:cNvPr>
        <xdr:cNvCxnSpPr>
          <a:cxnSpLocks/>
        </xdr:cNvCxnSpPr>
      </xdr:nvCxnSpPr>
      <xdr:spPr>
        <a:xfrm>
          <a:off x="38788181" y="43417332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594966</xdr:colOff>
      <xdr:row>250</xdr:row>
      <xdr:rowOff>170568</xdr:rowOff>
    </xdr:from>
    <xdr:to>
      <xdr:col>60</xdr:col>
      <xdr:colOff>602456</xdr:colOff>
      <xdr:row>253</xdr:row>
      <xdr:rowOff>30957</xdr:rowOff>
    </xdr:to>
    <xdr:cxnSp macro="">
      <xdr:nvCxnSpPr>
        <xdr:cNvPr id="216" name="Straight Arrow Connector 215">
          <a:extLst>
            <a:ext uri="{FF2B5EF4-FFF2-40B4-BE49-F238E27FC236}">
              <a16:creationId xmlns:a16="http://schemas.microsoft.com/office/drawing/2014/main" id="{8D11034C-059B-477F-8DA5-C507EC2CA591}"/>
            </a:ext>
          </a:extLst>
        </xdr:cNvPr>
        <xdr:cNvCxnSpPr>
          <a:cxnSpLocks/>
        </xdr:cNvCxnSpPr>
      </xdr:nvCxnSpPr>
      <xdr:spPr>
        <a:xfrm>
          <a:off x="38790216" y="44604693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23813</xdr:colOff>
      <xdr:row>249</xdr:row>
      <xdr:rowOff>11906</xdr:rowOff>
    </xdr:from>
    <xdr:to>
      <xdr:col>60</xdr:col>
      <xdr:colOff>285750</xdr:colOff>
      <xdr:row>249</xdr:row>
      <xdr:rowOff>36468</xdr:rowOff>
    </xdr:to>
    <xdr:cxnSp macro="">
      <xdr:nvCxnSpPr>
        <xdr:cNvPr id="219" name="Connector: Elbow 218">
          <a:extLst>
            <a:ext uri="{FF2B5EF4-FFF2-40B4-BE49-F238E27FC236}">
              <a16:creationId xmlns:a16="http://schemas.microsoft.com/office/drawing/2014/main" id="{A7B2A5F0-02D2-42BD-9069-B0ED8BD6EDE9}"/>
            </a:ext>
          </a:extLst>
        </xdr:cNvPr>
        <xdr:cNvCxnSpPr>
          <a:endCxn id="194" idx="1"/>
        </xdr:cNvCxnSpPr>
      </xdr:nvCxnSpPr>
      <xdr:spPr>
        <a:xfrm>
          <a:off x="37611844" y="44255531"/>
          <a:ext cx="869156" cy="24562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287655</xdr:colOff>
      <xdr:row>259</xdr:row>
      <xdr:rowOff>168020</xdr:rowOff>
    </xdr:from>
    <xdr:to>
      <xdr:col>75</xdr:col>
      <xdr:colOff>411480</xdr:colOff>
      <xdr:row>263</xdr:row>
      <xdr:rowOff>160019</xdr:rowOff>
    </xdr:to>
    <xdr:cxnSp macro="">
      <xdr:nvCxnSpPr>
        <xdr:cNvPr id="233" name="Connector: Elbow 232">
          <a:extLst>
            <a:ext uri="{FF2B5EF4-FFF2-40B4-BE49-F238E27FC236}">
              <a16:creationId xmlns:a16="http://schemas.microsoft.com/office/drawing/2014/main" id="{ACBE1B4B-4EB2-4560-BBCD-F12DA02DD3FD}"/>
            </a:ext>
          </a:extLst>
        </xdr:cNvPr>
        <xdr:cNvCxnSpPr/>
      </xdr:nvCxnSpPr>
      <xdr:spPr>
        <a:xfrm rot="16200000" flipH="1">
          <a:off x="47561849" y="22223920"/>
          <a:ext cx="753999" cy="269557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476250</xdr:colOff>
      <xdr:row>257</xdr:row>
      <xdr:rowOff>20010</xdr:rowOff>
    </xdr:from>
    <xdr:to>
      <xdr:col>76</xdr:col>
      <xdr:colOff>521970</xdr:colOff>
      <xdr:row>257</xdr:row>
      <xdr:rowOff>21915</xdr:rowOff>
    </xdr:to>
    <xdr:cxnSp macro="">
      <xdr:nvCxnSpPr>
        <xdr:cNvPr id="236" name="Straight Arrow Connector 235">
          <a:extLst>
            <a:ext uri="{FF2B5EF4-FFF2-40B4-BE49-F238E27FC236}">
              <a16:creationId xmlns:a16="http://schemas.microsoft.com/office/drawing/2014/main" id="{73A03829-1B9E-46F0-981B-20EB52D41D07}"/>
            </a:ext>
          </a:extLst>
        </xdr:cNvPr>
        <xdr:cNvCxnSpPr/>
      </xdr:nvCxnSpPr>
      <xdr:spPr>
        <a:xfrm flipV="1">
          <a:off x="42005250" y="49026135"/>
          <a:ext cx="7999095" cy="190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253</xdr:row>
      <xdr:rowOff>35729</xdr:rowOff>
    </xdr:from>
    <xdr:to>
      <xdr:col>73</xdr:col>
      <xdr:colOff>611029</xdr:colOff>
      <xdr:row>260</xdr:row>
      <xdr:rowOff>123359</xdr:rowOff>
    </xdr:to>
    <xdr:sp macro="" textlink="">
      <xdr:nvSpPr>
        <xdr:cNvPr id="237" name="Flowchart: Manual Operation 236">
          <a:extLst>
            <a:ext uri="{FF2B5EF4-FFF2-40B4-BE49-F238E27FC236}">
              <a16:creationId xmlns:a16="http://schemas.microsoft.com/office/drawing/2014/main" id="{D1390E4B-9FC4-4C76-A8F9-9CE1364B3DA5}"/>
            </a:ext>
          </a:extLst>
        </xdr:cNvPr>
        <xdr:cNvSpPr/>
      </xdr:nvSpPr>
      <xdr:spPr>
        <a:xfrm rot="5400000">
          <a:off x="46065044" y="47922904"/>
          <a:ext cx="1421130" cy="2135029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2</a:t>
          </a:r>
        </a:p>
      </xdr:txBody>
    </xdr:sp>
    <xdr:clientData/>
  </xdr:twoCellAnchor>
  <xdr:oneCellAnchor>
    <xdr:from>
      <xdr:col>69</xdr:col>
      <xdr:colOff>625322</xdr:colOff>
      <xdr:row>243</xdr:row>
      <xdr:rowOff>180975</xdr:rowOff>
    </xdr:from>
    <xdr:ext cx="720337" cy="636816"/>
    <xdr:pic>
      <xdr:nvPicPr>
        <xdr:cNvPr id="238" name="Picture 237">
          <a:extLst>
            <a:ext uri="{FF2B5EF4-FFF2-40B4-BE49-F238E27FC236}">
              <a16:creationId xmlns:a16="http://schemas.microsoft.com/office/drawing/2014/main" id="{71E5426E-A9B3-4153-95FB-2EDB5A5FF7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4988010" y="20159663"/>
          <a:ext cx="720337" cy="6368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70</xdr:col>
      <xdr:colOff>247650</xdr:colOff>
      <xdr:row>241</xdr:row>
      <xdr:rowOff>19050</xdr:rowOff>
    </xdr:from>
    <xdr:to>
      <xdr:col>70</xdr:col>
      <xdr:colOff>249685</xdr:colOff>
      <xdr:row>243</xdr:row>
      <xdr:rowOff>180975</xdr:rowOff>
    </xdr:to>
    <xdr:cxnSp macro="">
      <xdr:nvCxnSpPr>
        <xdr:cNvPr id="239" name="Straight Arrow Connector 238">
          <a:extLst>
            <a:ext uri="{FF2B5EF4-FFF2-40B4-BE49-F238E27FC236}">
              <a16:creationId xmlns:a16="http://schemas.microsoft.com/office/drawing/2014/main" id="{368BCBC5-E04D-4A60-8C42-4FDC02A845AB}"/>
            </a:ext>
          </a:extLst>
        </xdr:cNvPr>
        <xdr:cNvCxnSpPr>
          <a:cxnSpLocks/>
          <a:endCxn id="238" idx="0"/>
        </xdr:cNvCxnSpPr>
      </xdr:nvCxnSpPr>
      <xdr:spPr>
        <a:xfrm>
          <a:off x="45348525" y="19616738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249685</xdr:colOff>
      <xdr:row>247</xdr:row>
      <xdr:rowOff>63411</xdr:rowOff>
    </xdr:from>
    <xdr:to>
      <xdr:col>70</xdr:col>
      <xdr:colOff>257175</xdr:colOff>
      <xdr:row>249</xdr:row>
      <xdr:rowOff>114300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51004930-CFAD-4862-B7AC-B9FC4603D094}"/>
            </a:ext>
          </a:extLst>
        </xdr:cNvPr>
        <xdr:cNvCxnSpPr>
          <a:cxnSpLocks/>
          <a:stCxn id="238" idx="2"/>
        </xdr:cNvCxnSpPr>
      </xdr:nvCxnSpPr>
      <xdr:spPr>
        <a:xfrm>
          <a:off x="45350560" y="20804099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72</xdr:col>
      <xdr:colOff>42360</xdr:colOff>
      <xdr:row>287</xdr:row>
      <xdr:rowOff>74967</xdr:rowOff>
    </xdr:from>
    <xdr:ext cx="700364" cy="633005"/>
    <xdr:pic>
      <xdr:nvPicPr>
        <xdr:cNvPr id="242" name="Picture 241">
          <a:extLst>
            <a:ext uri="{FF2B5EF4-FFF2-40B4-BE49-F238E27FC236}">
              <a16:creationId xmlns:a16="http://schemas.microsoft.com/office/drawing/2014/main" id="{48E64E43-3200-46B3-ADF3-8660C0EC74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628266" y="24816155"/>
          <a:ext cx="700364" cy="633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72</xdr:col>
      <xdr:colOff>742724</xdr:colOff>
      <xdr:row>289</xdr:row>
      <xdr:rowOff>0</xdr:rowOff>
    </xdr:from>
    <xdr:to>
      <xdr:col>75</xdr:col>
      <xdr:colOff>0</xdr:colOff>
      <xdr:row>289</xdr:row>
      <xdr:rowOff>10470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AFA772C9-5123-4974-BEFA-0022788B9D2D}"/>
            </a:ext>
          </a:extLst>
        </xdr:cNvPr>
        <xdr:cNvCxnSpPr>
          <a:cxnSpLocks/>
          <a:stCxn id="242" idx="3"/>
        </xdr:cNvCxnSpPr>
      </xdr:nvCxnSpPr>
      <xdr:spPr>
        <a:xfrm flipV="1">
          <a:off x="47046130" y="55102125"/>
          <a:ext cx="1829026" cy="1047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392206</xdr:colOff>
      <xdr:row>282</xdr:row>
      <xdr:rowOff>33617</xdr:rowOff>
    </xdr:from>
    <xdr:to>
      <xdr:col>72</xdr:col>
      <xdr:colOff>392444</xdr:colOff>
      <xdr:row>287</xdr:row>
      <xdr:rowOff>74967</xdr:rowOff>
    </xdr:to>
    <xdr:cxnSp macro="">
      <xdr:nvCxnSpPr>
        <xdr:cNvPr id="244" name="Straight Arrow Connector 243">
          <a:extLst>
            <a:ext uri="{FF2B5EF4-FFF2-40B4-BE49-F238E27FC236}">
              <a16:creationId xmlns:a16="http://schemas.microsoft.com/office/drawing/2014/main" id="{C819D5F9-9D20-4B83-AB7A-26E5A94542A8}"/>
            </a:ext>
          </a:extLst>
        </xdr:cNvPr>
        <xdr:cNvCxnSpPr>
          <a:cxnSpLocks/>
          <a:endCxn id="242" idx="0"/>
        </xdr:cNvCxnSpPr>
      </xdr:nvCxnSpPr>
      <xdr:spPr>
        <a:xfrm>
          <a:off x="20978112" y="23822305"/>
          <a:ext cx="238" cy="99385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381000</xdr:colOff>
      <xdr:row>290</xdr:row>
      <xdr:rowOff>136472</xdr:rowOff>
    </xdr:from>
    <xdr:to>
      <xdr:col>72</xdr:col>
      <xdr:colOff>392444</xdr:colOff>
      <xdr:row>295</xdr:row>
      <xdr:rowOff>134471</xdr:rowOff>
    </xdr:to>
    <xdr:cxnSp macro="">
      <xdr:nvCxnSpPr>
        <xdr:cNvPr id="245" name="Straight Arrow Connector 244">
          <a:extLst>
            <a:ext uri="{FF2B5EF4-FFF2-40B4-BE49-F238E27FC236}">
              <a16:creationId xmlns:a16="http://schemas.microsoft.com/office/drawing/2014/main" id="{0A9B19D3-8ED2-4274-BA88-794B47B0F83F}"/>
            </a:ext>
          </a:extLst>
        </xdr:cNvPr>
        <xdr:cNvCxnSpPr>
          <a:cxnSpLocks/>
          <a:stCxn id="242" idx="2"/>
        </xdr:cNvCxnSpPr>
      </xdr:nvCxnSpPr>
      <xdr:spPr>
        <a:xfrm flipH="1">
          <a:off x="20966906" y="25449160"/>
          <a:ext cx="11444" cy="95049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547690</xdr:colOff>
      <xdr:row>262</xdr:row>
      <xdr:rowOff>83344</xdr:rowOff>
    </xdr:from>
    <xdr:to>
      <xdr:col>72</xdr:col>
      <xdr:colOff>42360</xdr:colOff>
      <xdr:row>289</xdr:row>
      <xdr:rowOff>10470</xdr:rowOff>
    </xdr:to>
    <xdr:cxnSp macro="">
      <xdr:nvCxnSpPr>
        <xdr:cNvPr id="246" name="Connector: Elbow 245">
          <a:extLst>
            <a:ext uri="{FF2B5EF4-FFF2-40B4-BE49-F238E27FC236}">
              <a16:creationId xmlns:a16="http://schemas.microsoft.com/office/drawing/2014/main" id="{5FA5E75B-F3C3-4152-9762-0D7F88E632DF}"/>
            </a:ext>
          </a:extLst>
        </xdr:cNvPr>
        <xdr:cNvCxnSpPr>
          <a:endCxn id="242" idx="1"/>
        </xdr:cNvCxnSpPr>
      </xdr:nvCxnSpPr>
      <xdr:spPr>
        <a:xfrm rot="16200000" flipH="1">
          <a:off x="42283134" y="51049963"/>
          <a:ext cx="5070626" cy="3054638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451843</xdr:colOff>
      <xdr:row>113</xdr:row>
      <xdr:rowOff>82673</xdr:rowOff>
    </xdr:from>
    <xdr:to>
      <xdr:col>12</xdr:col>
      <xdr:colOff>661147</xdr:colOff>
      <xdr:row>115</xdr:row>
      <xdr:rowOff>145677</xdr:rowOff>
    </xdr:to>
    <xdr:cxnSp macro="">
      <xdr:nvCxnSpPr>
        <xdr:cNvPr id="197" name="Connector: Elbow 196">
          <a:extLst>
            <a:ext uri="{FF2B5EF4-FFF2-40B4-BE49-F238E27FC236}">
              <a16:creationId xmlns:a16="http://schemas.microsoft.com/office/drawing/2014/main" id="{B89C3054-F1D5-4A31-BE45-DB01505DC48C}"/>
            </a:ext>
          </a:extLst>
        </xdr:cNvPr>
        <xdr:cNvCxnSpPr/>
      </xdr:nvCxnSpPr>
      <xdr:spPr>
        <a:xfrm>
          <a:off x="6973667" y="21586761"/>
          <a:ext cx="1542804" cy="444004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328668</xdr:colOff>
      <xdr:row>131</xdr:row>
      <xdr:rowOff>29246</xdr:rowOff>
    </xdr:from>
    <xdr:to>
      <xdr:col>79</xdr:col>
      <xdr:colOff>567802</xdr:colOff>
      <xdr:row>146</xdr:row>
      <xdr:rowOff>75415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F16069A0-5444-4829-1343-8609BEDA02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80</xdr:col>
      <xdr:colOff>82028</xdr:colOff>
      <xdr:row>148</xdr:row>
      <xdr:rowOff>173578</xdr:rowOff>
    </xdr:from>
    <xdr:to>
      <xdr:col>86</xdr:col>
      <xdr:colOff>635151</xdr:colOff>
      <xdr:row>165</xdr:row>
      <xdr:rowOff>115532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1B4E3DDD-385C-4402-9277-BB058ABAB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29</xdr:row>
      <xdr:rowOff>133350</xdr:rowOff>
    </xdr:from>
    <xdr:to>
      <xdr:col>2</xdr:col>
      <xdr:colOff>419100</xdr:colOff>
      <xdr:row>32</xdr:row>
      <xdr:rowOff>171450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C30447F-5FD6-1812-4BD9-15A9944295B1}"/>
            </a:ext>
          </a:extLst>
        </xdr:cNvPr>
        <xdr:cNvCxnSpPr/>
      </xdr:nvCxnSpPr>
      <xdr:spPr>
        <a:xfrm flipV="1">
          <a:off x="2209800" y="5467350"/>
          <a:ext cx="0" cy="6096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eganh\AppData\Roaming\Microsoft\AddIns\CoolProp.xlam" TargetMode="External"/><Relationship Id="rId1" Type="http://schemas.openxmlformats.org/officeDocument/2006/relationships/externalLinkPath" Target="/Users/keegan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eegan Hall" id="{9365A1C8-19C5-45B9-A467-714CA69F6D9A}" userId="7605e7f677c7e349" providerId="Windows Live"/>
  <person displayName="Keegan Hall" id="{0DFFDDE6-F147-407B-BFF8-A6A63DB148C9}" userId="S::keeganh@waikato.ac.nz::d59677db-0110-421e-af95-9db9b8b3ae7b" providerId="AD"/>
  <person displayName="Keegan Hall" id="{6A3A4882-6724-4001-9B76-8B6351EE038B}" userId="S::keegan.hall@waikato.ac.nz::d59677db-0110-421e-af95-9db9b8b3ae7b" providerId="AD"/>
  <person displayName="Hall, Keegan (Student)" id="{9D7E7F15-D114-4062-A6A8-A51941C90DE9}" userId="S::kkh7@students.waikato.ac.nz::5b2158a5-39e2-4e3f-9eeb-6cc7e845edb2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7" dT="2023-05-18T04:22:40.86" personId="{0DFFDDE6-F147-407B-BFF8-A6A63DB148C9}" id="{61868BF4-4721-4CF0-905F-754E8F002F77}">
    <text>Ends up in condensate separation tanks with MP steam after dryers but some is vented</text>
  </threadedComment>
  <threadedComment ref="V7" dT="2023-05-21T22:31:14.88" personId="{0DFFDDE6-F147-407B-BFF8-A6A63DB148C9}" id="{682FE19D-BAB3-4D29-957A-34123E1846E2}">
    <text>P&amp;C dhows drain</text>
  </threadedComment>
  <threadedComment ref="V8" dT="2023-05-21T22:32:21.86" personId="{0DFFDDE6-F147-407B-BFF8-A6A63DB148C9}" id="{E5E2B9A5-DCC8-46E5-8149-ABE4E00EB889}">
    <text>Goes to contaminated HW tanks</text>
  </threadedComment>
  <threadedComment ref="P10" dT="2023-05-18T04:37:13.12" personId="{0DFFDDE6-F147-407B-BFF8-A6A63DB148C9}" id="{594F952E-9047-4BF2-B3D2-8718C64B6043}">
    <text>Batch digestors are heated indirectly to reduce BL evaporator load</text>
  </threadedComment>
  <threadedComment ref="T10" dT="2023-10-27T12:47:40.40" personId="{6A3A4882-6724-4001-9B76-8B6351EE038B}" id="{4E306A2B-CC61-4B3A-AC21-5C604A366551}">
    <text>Only measures line to steam vessel but shows a higher flow than FT0184 which should be higher as it includes LP to delig &amp; BP</text>
  </threadedComment>
  <threadedComment ref="N14" dT="2023-05-18T21:23:10.54" personId="{0DFFDDE6-F147-407B-BFF8-A6A63DB148C9}" id="{F47B2AF2-EF59-4CD6-8071-B047D0E5F13B}">
    <text>LP steam rarely used in standpipe</text>
  </threadedComment>
  <threadedComment ref="O27" dT="2023-05-21T22:29:39.13" personId="{0DFFDDE6-F147-407B-BFF8-A6A63DB148C9}" id="{737260E1-82FE-44AA-8B44-8C6D62D3DDDA}">
    <text>May be reading wrong since 745condAIR calculation is higher and even with 4RB air heaters</text>
  </threadedComment>
  <threadedComment ref="P27" dT="2023-05-18T03:55:26.97" personId="{0DFFDDE6-F147-407B-BFF8-A6A63DB148C9}" id="{59405F60-A7FE-4F22-957F-42564830370E}">
    <text>In 745-02-01-017 P&amp;C</text>
  </threadedComment>
  <threadedComment ref="N28" dT="2023-05-18T03:54:33.10" personId="{0DFFDDE6-F147-407B-BFF8-A6A63DB148C9}" id="{49163FFC-2F41-43ED-957D-996CE87FC6AD}">
    <text>P&amp;C says 450kPa steam but parcview shows 1250, see if it balances</text>
  </threadedComment>
  <threadedComment ref="P28" dT="2023-05-18T03:36:05.03" personId="{0DFFDDE6-F147-407B-BFF8-A6A63DB148C9}" id="{BA4F8364-E9AB-482C-BD61-D2E0A965F7C7}">
    <text>Direct</text>
  </threadedComment>
  <threadedComment ref="E29" dT="2025-03-04T22:24:22.68" personId="{9D7E7F15-D114-4062-A6A8-A51941C90DE9}" id="{6E53367C-D66F-4A45-90F2-B9F1C382584D}">
    <text>This often gives negative values so can’t be trusted</text>
  </threadedComment>
  <threadedComment ref="P30" dT="2023-05-18T03:36:05.03" personId="{0DFFDDE6-F147-407B-BFF8-A6A63DB148C9}" id="{7E157A41-34B3-402E-BFA2-BBA07EB083DC}">
    <text>Direct</text>
  </threadedComment>
  <threadedComment ref="O31" dT="2023-05-18T04:22:17.30" personId="{0DFFDDE6-F147-407B-BFF8-A6A63DB148C9}" id="{9E8EDF4B-BCE5-4338-8AB4-92EAC6E01DCD}">
    <text xml:space="preserve">May always be 0
</text>
  </threadedComment>
  <threadedComment ref="P31" dT="2023-05-18T04:03:35.09" personId="{0DFFDDE6-F147-407B-BFF8-A6A63DB148C9}" id="{9A14F3CC-286D-43D2-9447-5E11A87713F3}">
    <text>Direct to 8PB DA</text>
  </threadedComment>
  <threadedComment ref="W32" dT="2023-05-18T23:03:03.06" personId="{0DFFDDE6-F147-407B-BFF8-A6A63DB148C9}" id="{5CB8E4E7-6613-4EA6-A631-FD95C4E482E2}">
    <text>Likely reading wrong</text>
  </threadedComment>
  <threadedComment ref="V74" dT="2024-10-10T04:41:04.30" personId="{6A3A4882-6724-4001-9B76-8B6351EE038B}" id="{2C52663A-C87A-4355-8EF1-ACAB03203434}">
    <text>MP steam</text>
  </threadedComment>
  <threadedComment ref="V74" dT="2024-12-06T02:08:58.39" personId="{9D7E7F15-D114-4062-A6A8-A51941C90DE9}" id="{C711FCB3-C04C-4F90-8D51-774D7AC64A0A}" parentId="{2C52663A-C87A-4355-8EF1-ACAB03203434}">
    <text>To No1 caustic but included under S&amp;R to save column space</text>
  </threadedComment>
  <threadedComment ref="R78" dT="2024-10-10T04:36:17.52" personId="{6A3A4882-6724-4001-9B76-8B6351EE038B}" id="{2DC8C324-9707-4B9F-AC89-F07B1BF55CDA}">
    <text>Total LP header flow</text>
  </threadedComment>
  <threadedComment ref="R78" dT="2024-12-06T02:02:09.76" personId="{9D7E7F15-D114-4062-A6A8-A51941C90DE9}" id="{4043AC71-9B90-4749-9487-F5F2095B6FDB}" parentId="{2DC8C324-9707-4B9F-AC89-F07B1BF55CDA}">
    <text>To C&amp;K</text>
  </threadedComment>
  <threadedComment ref="S78" dT="2024-10-10T04:37:42.42" personId="{6A3A4882-6724-4001-9B76-8B6351EE038B}" id="{4859EF8D-E3F2-4B81-B854-C2B8A83FA43E}">
    <text>Waste gas system</text>
  </threadedComment>
  <threadedComment ref="T78" dT="2024-10-10T06:44:30.74" personId="{6A3A4882-6724-4001-9B76-8B6351EE038B}" id="{ACE5B8EF-240C-4841-BB01-2FAD1C99CE0B}">
    <text>LP to BLOX plant, should be S&amp;R</text>
  </threadedComment>
  <threadedComment ref="Z78" dT="2024-10-10T04:36:17.52" personId="{6A3A4882-6724-4001-9B76-8B6351EE038B}" id="{462789ED-F61F-4140-A7F6-DF72B5EC2A59}">
    <text>Total LP header flow</text>
  </threadedComment>
  <threadedComment ref="AD78" dT="2024-10-10T04:37:42.42" personId="{6A3A4882-6724-4001-9B76-8B6351EE038B}" id="{A3B51E27-3DBB-49F9-AF8E-3F57EC33FCE2}">
    <text>Waste gas system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G6" dT="2023-05-24T21:43:46.22" personId="{9D7E7F15-D114-4062-A6A8-A51941C90DE9}" id="{388D20A5-125A-4A05-8790-B0EDF65BC8D4}">
    <text>From Chris Brown</text>
  </threadedComment>
  <threadedComment ref="BG8" dT="2023-05-24T21:43:30.38" personId="{9D7E7F15-D114-4062-A6A8-A51941C90DE9}" id="{694BDAE1-BFA8-4BF1-BACB-BB53BA977A99}">
    <text>From Chris Brown, due to pumping costs</text>
  </threadedComment>
  <threadedComment ref="AB9" dT="2023-05-21T22:24:37.32" personId="{0DFFDDE6-F147-407B-BFF8-A6A63DB148C9}" id="{6009941D-6BB8-4484-95AE-5CB70C64F49A}">
    <text>718TT0110</text>
  </threadedComment>
  <threadedComment ref="BG9" dT="2023-05-24T21:43:30.38" personId="{9D7E7F15-D114-4062-A6A8-A51941C90DE9}" id="{4E199089-E25D-4260-AB6A-5D14E32EE69A}">
    <text>From Chris Brown, due to pumping costs</text>
  </threadedComment>
  <threadedComment ref="BG10" dT="2023-05-24T21:43:38.16" personId="{9D7E7F15-D114-4062-A6A8-A51941C90DE9}" id="{CC179E78-C506-4F1A-A978-BDB36DFDFE8B}">
    <text>From Chris Brown</text>
  </threadedComment>
  <threadedComment ref="AF12" dT="2023-05-21T22:15:41.48" personId="{0DFFDDE6-F147-407B-BFF8-A6A63DB148C9}" id="{96CDA333-5C91-45D1-B7CB-E3732EA92591}">
    <text>Combined condensate temp from PM6 &amp; 2PD measured after condensate flash vessel by 718TE0135</text>
  </threadedComment>
  <threadedComment ref="AS21" dT="2023-05-18T23:56:40.00" personId="{0DFFDDE6-F147-407B-BFF8-A6A63DB148C9}" id="{72C02CB7-8716-4892-A565-1946F8D021EA}">
    <text>Direct heated from 4RB blowdown flash &amp; condensate collection tank 1 vapour</text>
  </threadedComment>
  <threadedComment ref="AS21" dT="2023-05-24T23:35:37.30" personId="{9D7E7F15-D114-4062-A6A8-A51941C90DE9}" id="{AD4739C9-36DF-4390-B5FA-40DDD9DFF5BF}" parentId="{72C02CB7-8716-4892-A565-1946F8D021EA}">
    <text>Also measured</text>
  </threadedComment>
  <threadedComment ref="AM26" dT="2023-05-21T23:01:36.24" personId="{0DFFDDE6-F147-407B-BFF8-A6A63DB148C9}" id="{86FAB2AF-7384-48AF-822C-9AE181643F3E}">
    <text>Direct heated from 4RB blowdown flash &amp; condensate collection tank 1 vapour</text>
  </threadedComment>
  <threadedComment ref="P36" dT="2023-05-18T23:01:08.26" personId="{0DFFDDE6-F147-407B-BFF8-A6A63DB148C9}" id="{61AC621A-68A6-4A77-8D8E-7726C7BA594C}">
    <text>Pretty sure that flowmeter is reading wrong, needs way more steam even if condensate returns at saturation. This is likely where some unaccounted for steam is going - flowmeter reads before blowdown flash is added but still not enough</text>
  </threadedComment>
  <threadedComment ref="AP43" dT="2023-05-25T04:06:46.68" personId="{9D7E7F15-D114-4062-A6A8-A51941C90DE9}" id="{1287AD07-5AB8-40AA-96F8-54E279BE434A}">
    <text>Most comes from cond tank 2, some comes from cond tank1 but  is mixed in same line and combined flow measured just before DA by FT156 (L/min) which is what parcview shows</text>
  </threadedComment>
  <threadedComment ref="O46" dT="2025-03-20T20:06:11.52" personId="{9D7E7F15-D114-4062-A6A8-A51941C90DE9}" id="{E8F66CBB-1C5A-4808-B887-CEAC75FCF7B7}">
    <text>Linking with dynamic model causes unsolvable look: '=IFERROR(F111+H142+U105+AS84+AO110,20)</text>
  </threadedComment>
  <threadedComment ref="AC48" dT="2023-05-17T03:28:14.40" personId="{0DFFDDE6-F147-407B-BFF8-A6A63DB148C9}" id="{599479C4-059F-4FCD-8891-9858B28109D7}">
    <text>Drain seems to always be less than whats coming in</text>
  </threadedComment>
  <threadedComment ref="I49" dT="2023-05-17T02:43:41.12" personId="{0DFFDDE6-F147-407B-BFF8-A6A63DB148C9}" id="{3CCDD0EF-2496-4E7E-9870-6A47B0B3EF22}">
    <text>114FT0324</text>
  </threadedComment>
  <threadedComment ref="BE52" dT="2023-05-17T03:28:14.40" personId="{0DFFDDE6-F147-407B-BFF8-A6A63DB148C9}" id="{645B0AB2-325C-430D-AA50-118F4E14DC95}">
    <text>Drain seems to always be less than whats coming in, may need to check P&amp;C to see if water is going somewhere</text>
  </threadedComment>
  <threadedComment ref="X53" dT="2025-03-20T22:12:31.08" personId="{9D7E7F15-D114-4062-A6A8-A51941C90DE9}" id="{37E440C8-B827-4B04-950A-428BFC2DA563}">
    <text>Extracted from filtering data between these rates</text>
  </threadedComment>
  <threadedComment ref="AO53" dT="2025-03-20T22:12:27.08" personId="{9D7E7F15-D114-4062-A6A8-A51941C90DE9}" id="{4B4CEFC6-FF62-4A02-8DEB-8A9F3DE91540}">
    <text>Extracted from filtering data between these rates</text>
  </threadedComment>
  <threadedComment ref="V58" dT="2023-05-17T03:49:25.69" personId="{0DFFDDE6-F147-407B-BFF8-A6A63DB148C9}" id="{348FE32C-8256-4A3D-BEE5-95A364CBDE19}">
    <text>Is preheated within boiler</text>
  </threadedComment>
  <threadedComment ref="AM59" dT="2023-05-17T03:49:25.69" personId="{0DFFDDE6-F147-407B-BFF8-A6A63DB148C9}" id="{3DD17A11-5BF7-4D8F-84A2-DA5EBBDA0DAB}">
    <text>Is preheated within boiler</text>
  </threadedComment>
  <threadedComment ref="E60" dT="2023-05-23T21:29:35.48" personId="{0DFFDDE6-F147-407B-BFF8-A6A63DB148C9}" id="{2D08E83C-CC3E-4A87-8841-1FA4B4E780D1}">
    <text>128FY0902A</text>
  </threadedComment>
  <threadedComment ref="AX61" dT="2023-05-17T03:28:14.40" personId="{0DFFDDE6-F147-407B-BFF8-A6A63DB148C9}" id="{97663A05-FEA4-445F-891C-6AC04954B8FC}">
    <text>Drain seems to always be less than whats coming in</text>
  </threadedComment>
  <threadedComment ref="V62" dT="2023-05-17T04:01:07.15" personId="{0DFFDDE6-F147-407B-BFF8-A6A63DB148C9}" id="{1259C5AE-64EE-4DE6-9919-C512E017E385}">
    <text>From Martins utility model but unsure if kg dry or wet as dry results in low energy compared to data</text>
  </threadedComment>
  <threadedComment ref="AM63" dT="2023-05-17T04:01:07.15" personId="{0DFFDDE6-F147-407B-BFF8-A6A63DB148C9}" id="{576E9498-2E07-4F7A-946B-30CD708C57F7}">
    <text>From Martins utility model but unsure if kg dry or wet as dry results in low energy compared to data</text>
  </threadedComment>
  <threadedComment ref="N65" dT="2023-05-18T20:47:22.20" personId="{0DFFDDE6-F147-407B-BFF8-A6A63DB148C9}" id="{A8323D6B-62CE-4C12-B624-B1FF3D5E0368}">
    <text xml:space="preserve">This is measured by 128FC0406 after desup &amp; spray water is split  </text>
  </threadedComment>
  <threadedComment ref="L69" dT="2023-05-19T00:04:32.28" personId="{0DFFDDE6-F147-407B-BFF8-A6A63DB148C9}" id="{9D4C47C5-D8CF-4F03-B599-9D8B00A06A5C}">
    <text>Flash goes to 8PB DA</text>
  </threadedComment>
  <threadedComment ref="AC69" dT="2023-05-18T23:57:42.79" personId="{0DFFDDE6-F147-407B-BFF8-A6A63DB148C9}" id="{2E33E5B3-4DD3-4760-8721-4B62B1A7DC36}">
    <text>Flash goes to LP header, liquid indirect HX demin water to tank 2</text>
  </threadedComment>
  <threadedComment ref="AT69" dT="2023-05-18T23:58:20.18" personId="{0DFFDDE6-F147-407B-BFF8-A6A63DB148C9}" id="{D860BC3B-3E58-4206-A4C8-F46E28BAACF8}">
    <text>Flash goes to demin contact heater then to demin to tank 1</text>
  </threadedComment>
  <threadedComment ref="E70" dT="2023-05-18T03:03:22.41" personId="{0DFFDDE6-F147-407B-BFF8-A6A63DB148C9}" id="{BEDA5260-F1D0-495C-8A15-42E47D2B4020}">
    <text>From Martins spreadsheet</text>
  </threadedComment>
  <threadedComment ref="AD72" dT="2023-05-17T04:21:40.59" personId="{0DFFDDE6-F147-407B-BFF8-A6A63DB148C9}" id="{EBF0C263-FDA1-4D1C-B64C-845F8157FDBB}">
    <text>I suspect blowdown ratio calculation on parcview is using density of cold water not 45 bar saturated</text>
  </threadedComment>
  <threadedComment ref="AU72" dT="2023-05-17T04:21:40.59" personId="{0DFFDDE6-F147-407B-BFF8-A6A63DB148C9}" id="{DE97BB0E-D287-41B3-9510-871C310AA4E5}">
    <text>I suspect blowdown ratio calculation on parcview is using density of cold water not 45 bar saturated</text>
  </threadedComment>
  <threadedComment ref="BE77" dT="2023-05-17T22:11:24.22" personId="{0DFFDDE6-F147-407B-BFF8-A6A63DB148C9}" id="{85A14DA4-4811-465E-994F-37426CA1F918}">
    <text>Suspect pressure gauge 127PT0151 not calibrated right since reading suggests not enough gas mass flow to achieve the outlet steam conditions</text>
  </threadedComment>
  <threadedComment ref="Y78" dT="2023-05-25T00:13:15.69" personId="{9D7E7F15-D114-4062-A6A8-A51941C90DE9}" id="{9C1BBB54-ADEE-45BE-8EFF-14B715B69EF3}">
    <text>Measured by 745FI1690 (after sootblowers)</text>
  </threadedComment>
  <threadedComment ref="AP78" dT="2023-05-25T00:09:47.21" personId="{9D7E7F15-D114-4062-A6A8-A51941C90DE9}" id="{EBA52C3F-1D1C-4012-B530-FA3D4CC17EB3}">
    <text>Measured by 744FY0032 (after sootblowers)</text>
  </threadedComment>
  <threadedComment ref="BL82" dT="2023-05-19T00:00:38.46" personId="{0DFFDDE6-F147-407B-BFF8-A6A63DB148C9}" id="{08A19C49-0B69-4A42-9BBD-73F0A3E9B3E4}">
    <text>Goes to 4RB blowdown flash tank</text>
  </threadedComment>
  <threadedComment ref="BM85" dT="2023-05-17T04:21:40.59" personId="{0DFFDDE6-F147-407B-BFF8-A6A63DB148C9}" id="{A396C197-03F4-43C3-B4E0-888D74C88A39}">
    <text>I suspect blowdown ratio calculation on parcview is using density of cold water not 45 bar saturated</text>
  </threadedComment>
  <threadedComment ref="AT86" dT="2023-05-25T03:11:28.62" personId="{9D7E7F15-D114-4062-A6A8-A51941C90DE9}" id="{4ED76535-9912-49B9-AB00-684EEA60D065}">
    <text xml:space="preserve">Appears to always be open despite 7PB mostly producing more IPS than PM6 needs. 1016V barely ever used. </text>
  </threadedComment>
  <threadedComment ref="AL88" dT="2023-05-19T04:12:26.35" personId="{0DFFDDE6-F147-407B-BFF8-A6A63DB148C9}" id="{ECEE722E-C453-4BFB-9A8C-1BB23D9D64A2}">
    <text>From P&amp;C's</text>
  </threadedComment>
  <threadedComment ref="BL91" dT="2023-05-25T03:24:52.63" personId="{9D7E7F15-D114-4062-A6A8-A51941C90DE9}" id="{428A1927-DFD3-41E3-A81E-615BB6A3B11A}">
    <text>127F006</text>
  </threadedComment>
  <threadedComment ref="BL124" dT="2023-05-17T22:44:59.03" personId="{0DFFDDE6-F147-407B-BFF8-A6A63DB148C9}" id="{37EAFC0F-2217-4B15-A2C4-86D1ABA4CD35}">
    <text>Manually iterated to match real plant data</text>
  </threadedComment>
  <threadedComment ref="J127" dT="2023-05-24T23:44:45.04" personId="{9D7E7F15-D114-4062-A6A8-A51941C90DE9}" id="{739A3DAE-909E-433B-8056-44670D1F7B46}">
    <text>Appears the turbine exhaust is held constant at 150 t/hr and MP exhaust is used to handle variation</text>
  </threadedComment>
  <threadedComment ref="BL160" dT="2023-05-17T22:44:59.03" personId="{0DFFDDE6-F147-407B-BFF8-A6A63DB148C9}" id="{9EC5C227-8323-4224-B61C-5349EA41C9B6}">
    <text>Manually iterated to match real plant data</text>
  </threadedComment>
  <threadedComment ref="BK191" dT="2020-09-24T03:01:03.51" personId="{9365A1C8-19C5-45B9-A467-714CA69F6D9A}" id="{E0D21D07-FF85-4A4B-B859-4EB22FD2BB36}">
    <text>want a driving force of 10 degrees minimum between flash liquid in and organic out</text>
  </threadedComment>
  <threadedComment ref="BT203" dT="2020-09-27T21:25:53.57" personId="{9365A1C8-19C5-45B9-A467-714CA69F6D9A}" id="{77E395FA-1462-4F9A-B827-84F8DD08AB5B}">
    <text>aim for a 10 degree difference between cooling fluid in and hot fluid out</text>
  </threadedComment>
  <threadedComment ref="BK217" dT="2020-09-27T21:22:37.63" personId="{9365A1C8-19C5-45B9-A467-714CA69F6D9A}" id="{C9153944-7BD1-4FC5-A8EC-55C02160159F}">
    <text>want a +5 degree superheat after evapourator and 10 degree difference between flash liquid hence the saturation temp bust be 15 degrees lower than the flash liquid</text>
  </threadedComment>
  <threadedComment ref="BV225" dT="2020-09-27T20:34:58.18" personId="{9365A1C8-19C5-45B9-A467-714CA69F6D9A}" id="{F09EF1A3-7098-4EC0-8984-0F9A5D87D686}">
    <text>+5 degrees from cooling water inlet</text>
  </threadedComment>
  <threadedComment ref="BL262" dT="2023-05-17T22:44:59.03" personId="{0DFFDDE6-F147-407B-BFF8-A6A63DB148C9}" id="{84D4CAB9-B70E-47F5-936B-77ACA081652A}">
    <text>Manually iterated to match real plant data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3289-665D-4897-935D-73BEE1AF963A}">
  <sheetPr codeName="Sheet12"/>
  <dimension ref="B2:AL80"/>
  <sheetViews>
    <sheetView topLeftCell="G1" zoomScale="85" zoomScaleNormal="85" workbookViewId="0">
      <selection activeCell="Q13" sqref="Q13"/>
    </sheetView>
  </sheetViews>
  <sheetFormatPr defaultRowHeight="14.4" x14ac:dyDescent="0.55000000000000004"/>
  <cols>
    <col min="14" max="14" width="20.26171875" bestFit="1" customWidth="1"/>
    <col min="27" max="27" width="17.41796875" bestFit="1" customWidth="1"/>
    <col min="40" max="40" width="8.26171875" customWidth="1"/>
  </cols>
  <sheetData>
    <row r="2" spans="2:38" x14ac:dyDescent="0.55000000000000004">
      <c r="B2" s="140" t="s">
        <v>226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AA2" s="84" t="s">
        <v>168</v>
      </c>
      <c r="AB2" s="84" t="s">
        <v>231</v>
      </c>
      <c r="AC2" s="19" t="s">
        <v>357</v>
      </c>
      <c r="AE2" s="93" t="s">
        <v>529</v>
      </c>
    </row>
    <row r="3" spans="2:38" x14ac:dyDescent="0.55000000000000004">
      <c r="AA3" s="84" t="s">
        <v>474</v>
      </c>
      <c r="AB3" s="32">
        <f>'Scenario Setup'!C4</f>
        <v>1000</v>
      </c>
      <c r="AC3" s="9"/>
      <c r="AE3" s="92" t="s">
        <v>528</v>
      </c>
    </row>
    <row r="4" spans="2:38" x14ac:dyDescent="0.55000000000000004">
      <c r="B4" s="141" t="s">
        <v>227</v>
      </c>
      <c r="C4" s="142"/>
      <c r="D4" s="142"/>
      <c r="E4" s="143"/>
      <c r="H4" s="144" t="s">
        <v>228</v>
      </c>
      <c r="I4" s="145"/>
      <c r="J4" s="145"/>
      <c r="K4" s="146"/>
      <c r="N4" s="147" t="s">
        <v>229</v>
      </c>
      <c r="O4" s="147"/>
      <c r="P4" s="147"/>
      <c r="Q4" s="147"/>
      <c r="T4" s="148" t="s">
        <v>230</v>
      </c>
      <c r="U4" s="148"/>
      <c r="V4" s="148"/>
      <c r="W4" s="148"/>
      <c r="AA4" s="84" t="s">
        <v>475</v>
      </c>
      <c r="AB4" s="9">
        <f>'Scenario Setup'!C7</f>
        <v>830</v>
      </c>
      <c r="AC4" s="9"/>
      <c r="AE4" s="61" t="s">
        <v>572</v>
      </c>
    </row>
    <row r="5" spans="2:38" x14ac:dyDescent="0.55000000000000004">
      <c r="B5" s="139" t="s">
        <v>232</v>
      </c>
      <c r="C5" s="139"/>
      <c r="D5" s="139"/>
      <c r="E5" s="139"/>
      <c r="H5" s="139" t="s">
        <v>232</v>
      </c>
      <c r="I5" s="139"/>
      <c r="J5" s="139"/>
      <c r="K5" s="139"/>
      <c r="N5" s="139" t="s">
        <v>232</v>
      </c>
      <c r="O5" s="139"/>
      <c r="P5" s="139"/>
      <c r="Q5" s="139"/>
      <c r="T5" s="139" t="s">
        <v>232</v>
      </c>
      <c r="U5" s="139"/>
      <c r="V5" s="139"/>
      <c r="W5" s="139"/>
      <c r="AA5" s="19" t="s">
        <v>532</v>
      </c>
      <c r="AB5" s="12">
        <f>'Scenario Setup'!C52</f>
        <v>719.20128030673345</v>
      </c>
      <c r="AC5" s="9">
        <f>IF(AND(AB5&gt;=750,AB5&lt;=850),4,IF(AND(AB5&gt;=950,AB5&lt;=1050),2,IF(AND(AB5&gt;=850,AB5&lt;=950),3,IF(AND(AB5&gt;=650,AB5&lt;=750),5,IF(AND(AB5&gt;=600,AB5&lt;=650),6,IF(AND(AB5&gt;=1200,AB5&lt;=1400),2,0))))))</f>
        <v>5</v>
      </c>
    </row>
    <row r="6" spans="2:38" x14ac:dyDescent="0.55000000000000004">
      <c r="B6" s="9" t="s">
        <v>168</v>
      </c>
      <c r="C6" s="9" t="s">
        <v>235</v>
      </c>
      <c r="D6" s="9" t="s">
        <v>236</v>
      </c>
      <c r="E6" s="9" t="s">
        <v>233</v>
      </c>
      <c r="H6" s="9" t="s">
        <v>168</v>
      </c>
      <c r="I6" s="9" t="s">
        <v>235</v>
      </c>
      <c r="J6" s="9" t="s">
        <v>236</v>
      </c>
      <c r="K6" s="9" t="s">
        <v>233</v>
      </c>
      <c r="N6" s="9" t="s">
        <v>168</v>
      </c>
      <c r="O6" s="9" t="s">
        <v>235</v>
      </c>
      <c r="P6" s="9" t="s">
        <v>236</v>
      </c>
      <c r="Q6" s="9" t="s">
        <v>233</v>
      </c>
      <c r="T6" s="9" t="s">
        <v>168</v>
      </c>
      <c r="U6" s="9" t="s">
        <v>235</v>
      </c>
      <c r="V6" s="9" t="s">
        <v>236</v>
      </c>
      <c r="W6" s="9" t="s">
        <v>233</v>
      </c>
      <c r="AA6" s="19" t="s">
        <v>533</v>
      </c>
      <c r="AB6" s="12">
        <f>'Scenario Setup'!C52</f>
        <v>719.20128030673345</v>
      </c>
      <c r="AC6" s="9">
        <f>IF(AND(AB6&gt;=750,AB6&lt;=850),4,IF(AND(AB6&gt;=950,AB6&lt;=1050),2,IF(AND(AB6&gt;=850,AB6&lt;=950),3,IF(AND(AB6&gt;=650,AB6&lt;=750),5,IF(AND(AB6&gt;=600,AB6&lt;=650),6,IF(AND(AB6&gt;=1200,AB6&lt;=1400),2,0))))))</f>
        <v>5</v>
      </c>
      <c r="AL6" s="26"/>
    </row>
    <row r="7" spans="2:38" x14ac:dyDescent="0.55000000000000004">
      <c r="H7" s="9" t="s">
        <v>237</v>
      </c>
      <c r="I7" s="9" t="e">
        <f>VLOOKUP(K7,'Steam Demand Data'!$AB$12:$AF$29,AC3,FALSE)</f>
        <v>#N/A</v>
      </c>
      <c r="J7" s="10">
        <f>P7</f>
        <v>0.7</v>
      </c>
      <c r="K7" s="9" t="s">
        <v>238</v>
      </c>
      <c r="N7" s="9" t="s">
        <v>239</v>
      </c>
      <c r="O7" s="9" t="e">
        <f>VLOOKUP(Q7,'Steam Demand Data'!$AB$12:$AF$29,AC3,FALSE)</f>
        <v>#N/A</v>
      </c>
      <c r="P7" s="10">
        <v>0.7</v>
      </c>
      <c r="Q7" s="9" t="s">
        <v>240</v>
      </c>
      <c r="T7" s="9" t="s">
        <v>241</v>
      </c>
      <c r="U7" s="9" cm="1">
        <f t="array" ref="U7">_xlfn.XLOOKUP(W7, $AB$12:$AB$29, _xlfn.XLOOKUP($AB$3, $AC$11:$AF$11, $AC$12:$AF$29))</f>
        <v>0.74</v>
      </c>
      <c r="V7" s="10">
        <v>0</v>
      </c>
      <c r="W7" s="9" t="s">
        <v>242</v>
      </c>
      <c r="Y7" s="35" t="s">
        <v>345</v>
      </c>
      <c r="AL7" s="26"/>
    </row>
    <row r="8" spans="2:38" x14ac:dyDescent="0.55000000000000004">
      <c r="N8" s="9" t="s">
        <v>243</v>
      </c>
      <c r="O8" s="9" t="e">
        <f>VLOOKUP("Kin.FOXPM.816FT5443",'Steam Demand Data'!$AB$12:$AF$29,AC3,FALSE) + VLOOKUP("Kin.FOXPM.816FT5192 ",'Steam Demand Data'!$AB$12:$AF$29,AC3,FALSE)  + VLOOKUP("Kin.FOXPM.816FT5484",'Steam Demand Data'!$AB$12:$AF$29,AC3,FALSE) + VLOOKUP("Kin.FOXPM.816FT5108",'Steam Demand Data'!$AB$12:$AF$29,AC3,FALSE)</f>
        <v>#N/A</v>
      </c>
      <c r="P8" s="10">
        <v>0.7</v>
      </c>
      <c r="Q8" s="9" t="s">
        <v>330</v>
      </c>
      <c r="T8" s="9" t="s">
        <v>244</v>
      </c>
      <c r="U8" s="9" cm="1">
        <f t="array" ref="U8">_xlfn.XLOOKUP(W8, $AB$12:$AB$29, _xlfn.XLOOKUP($AB$3, $AC$11:$AF$11, $AC$12:$AF$29))</f>
        <v>4.05</v>
      </c>
      <c r="V8" s="10">
        <v>0</v>
      </c>
      <c r="W8" s="9" t="s">
        <v>245</v>
      </c>
      <c r="AB8" s="31" t="s">
        <v>574</v>
      </c>
      <c r="AL8" s="26"/>
    </row>
    <row r="9" spans="2:38" x14ac:dyDescent="0.55000000000000004">
      <c r="N9" s="9" t="s">
        <v>246</v>
      </c>
      <c r="O9" s="9">
        <f>_xlfn.XLOOKUP(Q9, $AB$34, _xlfn.XLOOKUP($AB$4, $AC$33:$AG$33, $AC$34:$AG$34))</f>
        <v>33.85</v>
      </c>
      <c r="P9" s="10">
        <v>0.85</v>
      </c>
      <c r="Q9" s="9" t="s">
        <v>247</v>
      </c>
      <c r="T9" s="39" t="s">
        <v>248</v>
      </c>
      <c r="U9" s="39" t="e">
        <f>VLOOKUP(W9,'Steam Demand Data'!$AB$12:$AF$29,AC3,FALSE)</f>
        <v>#N/A</v>
      </c>
      <c r="V9" s="41">
        <v>0</v>
      </c>
      <c r="W9" s="39" t="s">
        <v>249</v>
      </c>
      <c r="Y9" s="35" t="s">
        <v>344</v>
      </c>
      <c r="AL9" s="26"/>
    </row>
    <row r="10" spans="2:38" x14ac:dyDescent="0.55000000000000004">
      <c r="N10" s="9" t="s">
        <v>250</v>
      </c>
      <c r="O10" s="9" t="e">
        <f>VLOOKUP(AK15,'Steam Demand Data'!$AB$12:$AF$29,AC3,FALSE) + VLOOKUP(AK16,'Steam Demand Data'!$AB$12:$AF$29,AC3,FALSE)</f>
        <v>#N/A</v>
      </c>
      <c r="P10" s="10">
        <v>1</v>
      </c>
      <c r="Q10" s="9" t="s">
        <v>323</v>
      </c>
      <c r="T10" s="9" t="s">
        <v>329</v>
      </c>
      <c r="U10" s="9" cm="1">
        <f t="array" ref="U10">_xlfn.XLOOKUP(W10, $AB$12:$AB$29, _xlfn.XLOOKUP($AB$3, $AC$11:$AF$11, $AC$12:$AF$29))</f>
        <v>30.29</v>
      </c>
      <c r="V10" s="10">
        <v>0</v>
      </c>
      <c r="W10" s="9" t="s">
        <v>253</v>
      </c>
      <c r="AB10" s="149" t="s">
        <v>364</v>
      </c>
      <c r="AC10" s="149"/>
      <c r="AD10" s="149"/>
      <c r="AE10" s="149"/>
      <c r="AF10" s="149"/>
      <c r="AL10" s="26"/>
    </row>
    <row r="11" spans="2:38" x14ac:dyDescent="0.55000000000000004">
      <c r="L11" s="9"/>
      <c r="N11" s="9" t="s">
        <v>251</v>
      </c>
      <c r="O11" s="9" t="e">
        <f>VLOOKUP(Q11,'Steam Demand Data'!$AB$12:$AF$29,AC3,FALSE)</f>
        <v>#N/A</v>
      </c>
      <c r="P11" s="10">
        <v>1</v>
      </c>
      <c r="Q11" s="9" t="s">
        <v>252</v>
      </c>
      <c r="T11" s="9" t="s">
        <v>256</v>
      </c>
      <c r="U11" s="9" cm="1">
        <f t="array" ref="U11">_xlfn.XLOOKUP(W11, $AB$12:$AB$29, _xlfn.XLOOKUP($AB$3, $AC$11:$AF$11, $AC$12:$AF$29))</f>
        <v>0.6</v>
      </c>
      <c r="V11" s="10">
        <v>1</v>
      </c>
      <c r="W11" s="9" t="s">
        <v>257</v>
      </c>
      <c r="AB11" s="56" t="s">
        <v>571</v>
      </c>
      <c r="AC11" s="9">
        <v>1000</v>
      </c>
      <c r="AD11" s="9">
        <v>700</v>
      </c>
      <c r="AE11" s="9">
        <v>500</v>
      </c>
      <c r="AF11" s="9"/>
      <c r="AL11" s="26"/>
    </row>
    <row r="12" spans="2:38" x14ac:dyDescent="0.55000000000000004">
      <c r="N12" s="9" t="s">
        <v>254</v>
      </c>
      <c r="O12" s="9" t="e">
        <f>VLOOKUP(Q12,'Steam Demand Data'!$AB$12:$AF$29,AC3,FALSE)</f>
        <v>#N/A</v>
      </c>
      <c r="P12" s="10">
        <v>0</v>
      </c>
      <c r="Q12" s="9" t="s">
        <v>255</v>
      </c>
      <c r="T12" s="9" t="s">
        <v>260</v>
      </c>
      <c r="U12" s="9" cm="1">
        <f t="array" ref="U12">_xlfn.XLOOKUP(W12, $AB$12:$AB$29, _xlfn.XLOOKUP($AB$3, $AC$11:$AF$11, $AC$12:$AF$29))</f>
        <v>5.4</v>
      </c>
      <c r="V12" s="10">
        <v>1</v>
      </c>
      <c r="W12" s="9" t="s">
        <v>261</v>
      </c>
      <c r="AB12" s="56" t="s">
        <v>253</v>
      </c>
      <c r="AC12" s="62">
        <v>30.29</v>
      </c>
      <c r="AD12" s="62">
        <v>27.46</v>
      </c>
      <c r="AE12" s="62">
        <v>25.16</v>
      </c>
      <c r="AF12" s="62"/>
      <c r="AL12" s="26"/>
    </row>
    <row r="13" spans="2:38" x14ac:dyDescent="0.55000000000000004">
      <c r="N13" s="9" t="s">
        <v>258</v>
      </c>
      <c r="O13" s="9" cm="1">
        <f t="array" ref="O13">_xlfn.XLOOKUP("Kin.FOXPU.718FT0305", $AB$12:$AB$29, _xlfn.XLOOKUP($AB$3, $AC$11:$AF$11, $AC$12:$AF$29)) + _xlfn.XLOOKUP("KIN.FOXPU.718FT0316", $AB$12:$AB$29, _xlfn.XLOOKUP($AB$3, $AC$11:$AF$11, $AC$12:$AF$29))</f>
        <v>4.46</v>
      </c>
      <c r="P13" s="10">
        <v>0</v>
      </c>
      <c r="Q13" s="9" t="s">
        <v>259</v>
      </c>
      <c r="T13" s="9" t="s">
        <v>266</v>
      </c>
      <c r="U13" s="22" cm="1">
        <f t="array" ref="U13">_xlfn.XLOOKUP(W13, $AB$12:$AB$29, _xlfn.XLOOKUP($AB$3, $AC$11:$AF$11, $AC$12:$AF$29))</f>
        <v>2.4635750000000001</v>
      </c>
      <c r="V13" s="10">
        <v>0</v>
      </c>
      <c r="W13" s="9" t="s">
        <v>267</v>
      </c>
      <c r="AB13" s="56" t="s">
        <v>316</v>
      </c>
      <c r="AC13" s="62">
        <v>21.29</v>
      </c>
      <c r="AD13" s="62">
        <v>14.24</v>
      </c>
      <c r="AE13" s="62">
        <v>9.52</v>
      </c>
      <c r="AF13" s="62"/>
      <c r="AL13" s="26"/>
    </row>
    <row r="14" spans="2:38" x14ac:dyDescent="0.55000000000000004">
      <c r="I14" t="s">
        <v>358</v>
      </c>
      <c r="N14" s="9" t="s">
        <v>263</v>
      </c>
      <c r="O14" s="9" cm="1">
        <f t="array" ref="O14">_xlfn.XLOOKUP("Kin.FOXPU.782FC2013", $AB$12:$AB$29, _xlfn.XLOOKUP($AB$3, $AC$11:$AF$11, $AC$12:$AF$29)) + _xlfn.XLOOKUP("Kin.FOXPU.782FC2097", $AB$12:$AB$29, _xlfn.XLOOKUP($AB$3, $AC$11:$AF$11, $AC$12:$AF$29))</f>
        <v>9.43</v>
      </c>
      <c r="P14" s="10">
        <v>0</v>
      </c>
      <c r="Q14" s="9" t="s">
        <v>264</v>
      </c>
      <c r="T14" s="9" t="s">
        <v>310</v>
      </c>
      <c r="U14" s="9" cm="1">
        <f t="array" ref="U14">_xlfn.XLOOKUP(W14, $AB$12:$AB$29, _xlfn.XLOOKUP($AB$3, $AC$11:$AF$11, $AC$12:$AF$29))</f>
        <v>1.34</v>
      </c>
      <c r="V14" s="11">
        <v>0</v>
      </c>
      <c r="W14" s="9" t="s">
        <v>311</v>
      </c>
      <c r="AB14" s="56" t="s">
        <v>277</v>
      </c>
      <c r="AC14" s="62">
        <v>1.56</v>
      </c>
      <c r="AD14" s="62">
        <v>1.63</v>
      </c>
      <c r="AE14" s="62">
        <v>3.11</v>
      </c>
      <c r="AF14" s="62"/>
      <c r="AL14" s="26"/>
    </row>
    <row r="15" spans="2:38" x14ac:dyDescent="0.55000000000000004">
      <c r="J15" s="8"/>
      <c r="N15" s="9" t="s">
        <v>209</v>
      </c>
      <c r="O15" s="9" t="e">
        <f>VLOOKUP(Q15,'Steam Demand Data'!$AB$12:$AF$29,AC3,FALSE)</f>
        <v>#N/A</v>
      </c>
      <c r="P15" s="10">
        <v>0</v>
      </c>
      <c r="Q15" s="9" t="s">
        <v>265</v>
      </c>
      <c r="T15" s="9" t="s">
        <v>324</v>
      </c>
      <c r="U15" s="9" cm="1">
        <f t="array" ref="U15">_xlfn.XLOOKUP(W15, $AB$12:$AB$29, _xlfn.XLOOKUP($AB$3, $AC$11:$AF$11, $AC$12:$AF$29))</f>
        <v>0.19</v>
      </c>
      <c r="V15" s="11">
        <v>0</v>
      </c>
      <c r="W15" s="9" t="s">
        <v>312</v>
      </c>
      <c r="AB15" s="56" t="s">
        <v>284</v>
      </c>
      <c r="AC15" s="62">
        <v>2.9</v>
      </c>
      <c r="AD15" s="62">
        <v>2.44</v>
      </c>
      <c r="AE15" s="62">
        <v>3.43</v>
      </c>
      <c r="AF15" s="62"/>
      <c r="AL15" s="26"/>
    </row>
    <row r="16" spans="2:38" x14ac:dyDescent="0.55000000000000004">
      <c r="J16" s="8"/>
      <c r="N16" s="34" t="s">
        <v>268</v>
      </c>
      <c r="O16" s="9" cm="1">
        <f t="array" ref="O16">_xlfn.XLOOKUP(Q16, $AB$12:$AB$29, _xlfn.XLOOKUP($AB$3, $AC$11:$AF$11, $AC$12:$AF$29))</f>
        <v>0.98</v>
      </c>
      <c r="P16" s="10">
        <v>0</v>
      </c>
      <c r="Q16" s="9" t="s">
        <v>269</v>
      </c>
      <c r="T16" s="9" t="s">
        <v>325</v>
      </c>
      <c r="U16" s="9" cm="1">
        <f t="array" ref="U16">_xlfn.XLOOKUP(W16, $AB$12:$AB$29, _xlfn.XLOOKUP($AB$3, $AC$11:$AF$11, $AC$12:$AF$29))</f>
        <v>0.56999999999999995</v>
      </c>
      <c r="V16" s="11">
        <v>0</v>
      </c>
      <c r="W16" s="9" t="s">
        <v>313</v>
      </c>
      <c r="AB16" s="56" t="s">
        <v>257</v>
      </c>
      <c r="AC16" s="62">
        <v>0.6</v>
      </c>
      <c r="AD16" s="62">
        <v>0.89</v>
      </c>
      <c r="AE16" s="62">
        <v>1.08</v>
      </c>
      <c r="AF16" s="62"/>
      <c r="AL16" s="26"/>
    </row>
    <row r="17" spans="2:38" x14ac:dyDescent="0.55000000000000004">
      <c r="J17" s="8"/>
      <c r="N17" s="9" t="s">
        <v>326</v>
      </c>
      <c r="O17" s="9" cm="1">
        <f t="array" ref="O17">_xlfn.XLOOKUP(Q17, $AB$12:$AB$29, _xlfn.XLOOKUP($AB$3, $AC$11:$AF$11, $AC$12:$AF$29))</f>
        <v>21.29</v>
      </c>
      <c r="P17" s="10">
        <v>1</v>
      </c>
      <c r="Q17" s="9" t="s">
        <v>316</v>
      </c>
      <c r="T17" s="39" t="s">
        <v>336</v>
      </c>
      <c r="U17" s="39" t="e">
        <f>VLOOKUP(W17,'Steam Demand Data'!$AB$12:$AF$29,AC3,FALSE)</f>
        <v>#N/A</v>
      </c>
      <c r="V17" s="39"/>
      <c r="W17" s="39" t="s">
        <v>314</v>
      </c>
      <c r="X17" s="40"/>
      <c r="Y17" s="35" t="s">
        <v>344</v>
      </c>
      <c r="AB17" s="56" t="s">
        <v>269</v>
      </c>
      <c r="AC17" s="62">
        <v>0.98</v>
      </c>
      <c r="AD17" s="62">
        <v>0.98</v>
      </c>
      <c r="AE17" s="62">
        <v>1.07</v>
      </c>
      <c r="AF17" s="62"/>
      <c r="AL17" s="26"/>
    </row>
    <row r="18" spans="2:38" x14ac:dyDescent="0.55000000000000004">
      <c r="J18" s="8"/>
      <c r="N18" s="9" t="s">
        <v>327</v>
      </c>
      <c r="O18" s="9" t="e">
        <f>VLOOKUP(Q18,'Steam Demand Data'!$AB$12:$AF$29,AC3,FALSE)</f>
        <v>#N/A</v>
      </c>
      <c r="P18" s="10"/>
      <c r="Q18" s="9" t="s">
        <v>318</v>
      </c>
      <c r="W18">
        <v>11</v>
      </c>
      <c r="AB18" s="56" t="s">
        <v>261</v>
      </c>
      <c r="AC18" s="62">
        <v>5.4</v>
      </c>
      <c r="AD18" s="62">
        <v>5.0999999999999996</v>
      </c>
      <c r="AE18" s="62">
        <v>3.55</v>
      </c>
      <c r="AF18" s="62"/>
      <c r="AL18" s="26"/>
    </row>
    <row r="19" spans="2:38" x14ac:dyDescent="0.55000000000000004">
      <c r="J19" s="8"/>
      <c r="N19" s="9" t="s">
        <v>328</v>
      </c>
      <c r="O19" s="9" t="e">
        <f>VLOOKUP(Q19,'Steam Demand Data'!$AB$12:$AF$29,AC3,FALSE)</f>
        <v>#N/A</v>
      </c>
      <c r="P19" s="10"/>
      <c r="Q19" s="9" t="s">
        <v>319</v>
      </c>
      <c r="AB19" s="56" t="s">
        <v>292</v>
      </c>
      <c r="AC19" s="62">
        <v>5.77</v>
      </c>
      <c r="AD19" s="62">
        <v>2.48</v>
      </c>
      <c r="AE19" s="62">
        <v>1.84</v>
      </c>
      <c r="AF19" s="62"/>
      <c r="AG19" s="35" t="s">
        <v>604</v>
      </c>
      <c r="AL19" s="26"/>
    </row>
    <row r="20" spans="2:38" x14ac:dyDescent="0.55000000000000004">
      <c r="J20" s="8"/>
      <c r="N20" s="9" t="s">
        <v>331</v>
      </c>
      <c r="O20" s="9" t="e">
        <f>VLOOKUP(Q20,'Steam Demand Data'!$AB$12:$AF$29,AC3,FALSE)</f>
        <v>#N/A</v>
      </c>
      <c r="P20" s="10"/>
      <c r="Q20" s="9" t="s">
        <v>321</v>
      </c>
      <c r="V20" s="8"/>
      <c r="AB20" s="56" t="s">
        <v>288</v>
      </c>
      <c r="AC20" s="62">
        <v>3.66</v>
      </c>
      <c r="AD20" s="62">
        <v>2.57</v>
      </c>
      <c r="AE20" s="62">
        <v>2.85</v>
      </c>
      <c r="AF20" s="62"/>
      <c r="AL20" s="26"/>
    </row>
    <row r="21" spans="2:38" x14ac:dyDescent="0.55000000000000004">
      <c r="J21" s="8"/>
      <c r="K21">
        <v>1</v>
      </c>
      <c r="O21" s="17">
        <f>O17+O16+O14+O13+O9</f>
        <v>70.009999999999991</v>
      </c>
      <c r="P21" s="8"/>
      <c r="Q21">
        <v>19</v>
      </c>
      <c r="V21" s="8"/>
      <c r="AB21" s="56" t="s">
        <v>267</v>
      </c>
      <c r="AC21" s="62">
        <v>2.4635750000000001</v>
      </c>
      <c r="AD21" s="62">
        <v>1.97244</v>
      </c>
      <c r="AE21" s="62">
        <v>1.834875</v>
      </c>
      <c r="AF21" s="62"/>
      <c r="AL21" s="26"/>
    </row>
    <row r="22" spans="2:38" x14ac:dyDescent="0.55000000000000004">
      <c r="J22" s="8"/>
      <c r="P22" s="8"/>
      <c r="V22" s="8"/>
      <c r="Z22" t="s">
        <v>358</v>
      </c>
      <c r="AB22" s="56" t="s">
        <v>245</v>
      </c>
      <c r="AC22" s="62">
        <v>4.05</v>
      </c>
      <c r="AD22" s="62">
        <v>4.33</v>
      </c>
      <c r="AE22" s="62">
        <v>4.67</v>
      </c>
      <c r="AF22" s="62"/>
      <c r="AL22" s="26"/>
    </row>
    <row r="23" spans="2:38" x14ac:dyDescent="0.55000000000000004">
      <c r="J23" s="8"/>
      <c r="P23" s="8"/>
      <c r="V23" s="8"/>
      <c r="AB23" s="56" t="s">
        <v>242</v>
      </c>
      <c r="AC23" s="62">
        <v>0.74</v>
      </c>
      <c r="AD23" s="62">
        <v>0.81</v>
      </c>
      <c r="AE23" s="62">
        <v>0.8</v>
      </c>
      <c r="AF23" s="62"/>
      <c r="AL23" s="26"/>
    </row>
    <row r="24" spans="2:38" x14ac:dyDescent="0.55000000000000004">
      <c r="J24" s="8"/>
      <c r="V24" s="8"/>
      <c r="AB24" s="56" t="s">
        <v>311</v>
      </c>
      <c r="AC24" s="62">
        <v>1.34</v>
      </c>
      <c r="AD24" s="62">
        <v>1.37</v>
      </c>
      <c r="AE24" s="62">
        <v>1.36</v>
      </c>
      <c r="AF24" s="62"/>
      <c r="AL24" s="26"/>
    </row>
    <row r="25" spans="2:38" x14ac:dyDescent="0.55000000000000004">
      <c r="B25" s="139" t="s">
        <v>271</v>
      </c>
      <c r="C25" s="139"/>
      <c r="D25" s="139"/>
      <c r="E25" s="139"/>
      <c r="H25" s="139" t="s">
        <v>271</v>
      </c>
      <c r="I25" s="139"/>
      <c r="J25" s="139"/>
      <c r="K25" s="139"/>
      <c r="N25" s="139" t="s">
        <v>271</v>
      </c>
      <c r="O25" s="139"/>
      <c r="P25" s="139"/>
      <c r="Q25" s="139"/>
      <c r="T25" s="139" t="s">
        <v>271</v>
      </c>
      <c r="U25" s="139"/>
      <c r="V25" s="139"/>
      <c r="W25" s="139"/>
      <c r="AB25" s="56" t="s">
        <v>312</v>
      </c>
      <c r="AC25" s="62">
        <v>0.19</v>
      </c>
      <c r="AD25" s="62">
        <v>0.17</v>
      </c>
      <c r="AE25" s="62">
        <v>0.17</v>
      </c>
      <c r="AF25" s="62"/>
      <c r="AL25" s="26"/>
    </row>
    <row r="26" spans="2:38" x14ac:dyDescent="0.55000000000000004">
      <c r="B26" s="9" t="s">
        <v>168</v>
      </c>
      <c r="C26" s="9" t="s">
        <v>235</v>
      </c>
      <c r="D26" s="9" t="s">
        <v>236</v>
      </c>
      <c r="E26" s="9" t="s">
        <v>233</v>
      </c>
      <c r="H26" s="9" t="s">
        <v>168</v>
      </c>
      <c r="I26" s="9" t="s">
        <v>235</v>
      </c>
      <c r="J26" s="9" t="s">
        <v>236</v>
      </c>
      <c r="K26" s="9" t="s">
        <v>233</v>
      </c>
      <c r="N26" s="9" t="s">
        <v>168</v>
      </c>
      <c r="O26" s="9" t="s">
        <v>235</v>
      </c>
      <c r="P26" s="9" t="s">
        <v>236</v>
      </c>
      <c r="Q26" s="9" t="s">
        <v>233</v>
      </c>
      <c r="T26" s="9" t="s">
        <v>168</v>
      </c>
      <c r="U26" s="9" t="s">
        <v>235</v>
      </c>
      <c r="V26" s="9" t="s">
        <v>236</v>
      </c>
      <c r="W26" s="9" t="s">
        <v>233</v>
      </c>
      <c r="AB26" s="56" t="s">
        <v>313</v>
      </c>
      <c r="AC26" s="62">
        <v>0.56999999999999995</v>
      </c>
      <c r="AD26" s="62">
        <v>0.56000000000000005</v>
      </c>
      <c r="AE26" s="62">
        <v>0.55000000000000004</v>
      </c>
      <c r="AF26" s="62"/>
      <c r="AJ26" s="26"/>
      <c r="AL26" s="26"/>
    </row>
    <row r="27" spans="2:38" x14ac:dyDescent="0.55000000000000004">
      <c r="B27" s="9" t="s">
        <v>272</v>
      </c>
      <c r="C27" s="9" cm="1">
        <f t="array" ref="C27">_xlfn.XLOOKUP(E27, $AB$12:$AB$29, _xlfn.XLOOKUP($AB$3, $AC$11:$AF$11, $AC$12:$AF$29))</f>
        <v>12.81</v>
      </c>
      <c r="D27" s="10">
        <v>0</v>
      </c>
      <c r="E27" s="9" t="s">
        <v>273</v>
      </c>
      <c r="H27" s="9"/>
      <c r="I27" s="9"/>
      <c r="J27" s="9"/>
      <c r="K27" s="9"/>
      <c r="N27" s="9" t="s">
        <v>274</v>
      </c>
      <c r="O27" s="9">
        <f>VLOOKUP(Q27,'Steam Demand Data'!$AB$38:$AG$41,AC5,FALSE)</f>
        <v>1.75</v>
      </c>
      <c r="P27" s="11">
        <v>1</v>
      </c>
      <c r="Q27" s="9" t="s">
        <v>275</v>
      </c>
      <c r="T27" s="9" t="s">
        <v>308</v>
      </c>
      <c r="U27" s="9">
        <f>VLOOKUP("Kin.FOXSR.745FI213",'Steam Demand Data'!$AB$46:$AG$48,AC6,FALSE) + VLOOKUP("Kin.FOXSR.745FI206",'Steam Demand Data'!$AB$46:$AG$48,AC6,FALSE)</f>
        <v>8.39</v>
      </c>
      <c r="V27" s="11">
        <v>1</v>
      </c>
      <c r="W27" s="9" t="s">
        <v>309</v>
      </c>
      <c r="AB27" s="56" t="s">
        <v>273</v>
      </c>
      <c r="AC27" s="62">
        <v>12.81</v>
      </c>
      <c r="AD27" s="62">
        <v>12.83</v>
      </c>
      <c r="AE27" s="62">
        <v>12.63</v>
      </c>
      <c r="AF27" s="62"/>
      <c r="AJ27" s="26"/>
      <c r="AL27" s="26"/>
    </row>
    <row r="28" spans="2:38" x14ac:dyDescent="0.55000000000000004">
      <c r="B28" s="9" t="s">
        <v>278</v>
      </c>
      <c r="C28" s="9" cm="1">
        <f t="array" ref="C28">_xlfn.XLOOKUP("Kin.FOXSR.744FT0622", $AB$12:$AB$29, _xlfn.XLOOKUP($AB$3, $AC$11:$AF$11, $AC$12:$AF$29)) + _xlfn.XLOOKUP("Kin.FOXSR.744FT0623", $AB$12:$AB$29, _xlfn.XLOOKUP($AB$3, $AC$11:$AF$11, $AC$12:$AF$29))</f>
        <v>8.9499999999999993</v>
      </c>
      <c r="D28" s="10">
        <v>0</v>
      </c>
      <c r="E28" s="9" t="s">
        <v>279</v>
      </c>
      <c r="H28" s="9"/>
      <c r="I28" s="9"/>
      <c r="J28" s="9"/>
      <c r="K28" s="9"/>
      <c r="N28" s="9" t="s">
        <v>280</v>
      </c>
      <c r="O28" s="9">
        <f>VLOOKUP(Q28,'Steam Demand Data'!$AB$38:$AG$41,AC5,FALSE)</f>
        <v>0.93</v>
      </c>
      <c r="P28" s="11">
        <v>0</v>
      </c>
      <c r="Q28" s="9" t="s">
        <v>281</v>
      </c>
      <c r="T28" s="9" t="s">
        <v>282</v>
      </c>
      <c r="U28" s="100">
        <f>'Scenario Setup'!C17</f>
        <v>35.487442000000001</v>
      </c>
      <c r="V28" s="10">
        <v>0.96</v>
      </c>
      <c r="W28" s="9" t="s">
        <v>283</v>
      </c>
      <c r="AB28" s="56" t="s">
        <v>300</v>
      </c>
      <c r="AC28" s="62">
        <v>4.46</v>
      </c>
      <c r="AD28" s="62">
        <v>3.73</v>
      </c>
      <c r="AE28" s="62">
        <v>3.9350000000000001</v>
      </c>
      <c r="AF28" s="62"/>
      <c r="AJ28" s="26"/>
      <c r="AL28" s="26"/>
    </row>
    <row r="29" spans="2:38" x14ac:dyDescent="0.55000000000000004">
      <c r="B29" s="9" t="s">
        <v>285</v>
      </c>
      <c r="C29" s="13">
        <f>Flowsheet!AA88</f>
        <v>5</v>
      </c>
      <c r="D29" s="10">
        <v>0</v>
      </c>
      <c r="E29" s="9" t="s">
        <v>322</v>
      </c>
      <c r="H29" s="9"/>
      <c r="I29" s="9"/>
      <c r="J29" s="9"/>
      <c r="K29" s="9"/>
      <c r="N29" s="9" t="s">
        <v>306</v>
      </c>
      <c r="O29" s="9">
        <f>VLOOKUP(Q29,'Steam Demand Data'!$AB$38:$AG$41,AC5,FALSE)</f>
        <v>17.329999999999998</v>
      </c>
      <c r="P29" s="11">
        <v>1</v>
      </c>
      <c r="Q29" s="9" t="s">
        <v>307</v>
      </c>
      <c r="T29" s="9" t="s">
        <v>286</v>
      </c>
      <c r="U29" s="100">
        <f>'Scenario Setup'!C16</f>
        <v>33.268740000000001</v>
      </c>
      <c r="V29" s="10">
        <v>1</v>
      </c>
      <c r="W29" s="9" t="s">
        <v>287</v>
      </c>
      <c r="AB29" s="56" t="s">
        <v>301</v>
      </c>
      <c r="AC29" s="62">
        <v>4.49</v>
      </c>
      <c r="AD29" s="62">
        <v>3.51</v>
      </c>
      <c r="AE29" s="62">
        <v>3.58</v>
      </c>
      <c r="AF29" s="62"/>
      <c r="AJ29" s="26"/>
      <c r="AL29" s="26"/>
    </row>
    <row r="30" spans="2:38" x14ac:dyDescent="0.55000000000000004">
      <c r="B30" s="9"/>
      <c r="C30" s="9"/>
      <c r="D30" s="9"/>
      <c r="E30" s="9"/>
      <c r="H30" s="9"/>
      <c r="I30" s="9"/>
      <c r="J30" s="9"/>
      <c r="K30" s="9"/>
      <c r="N30" s="9" t="s">
        <v>289</v>
      </c>
      <c r="O30" s="9">
        <f>VLOOKUP(Q30,'Steam Demand Data'!$AB$38:$AG$41,AC5,FALSE)</f>
        <v>1.27</v>
      </c>
      <c r="P30" s="11">
        <v>0</v>
      </c>
      <c r="Q30" s="9" t="s">
        <v>290</v>
      </c>
      <c r="T30" s="9" t="s">
        <v>99</v>
      </c>
      <c r="U30" s="99">
        <f ca="1">Flowsheet!BE36</f>
        <v>14.78784187697082</v>
      </c>
      <c r="V30" s="10">
        <v>1</v>
      </c>
      <c r="W30" s="9" t="s">
        <v>291</v>
      </c>
      <c r="AB30" s="56" t="s">
        <v>216</v>
      </c>
      <c r="AC30" s="12">
        <f>SUM(AC12:AC29)</f>
        <v>103.56357499999997</v>
      </c>
      <c r="AD30" s="12">
        <f>SUM(AD12:AD29)</f>
        <v>87.072440000000014</v>
      </c>
      <c r="AE30" s="12">
        <f>SUM(AE12:AE29)</f>
        <v>81.139874999999989</v>
      </c>
      <c r="AF30" s="12">
        <f>SUM(AF12:AF29)</f>
        <v>0</v>
      </c>
      <c r="AJ30" s="26"/>
      <c r="AL30" s="26"/>
    </row>
    <row r="31" spans="2:38" x14ac:dyDescent="0.55000000000000004">
      <c r="B31" s="9"/>
      <c r="C31" s="9"/>
      <c r="D31" s="9"/>
      <c r="E31" s="9"/>
      <c r="H31" s="9"/>
      <c r="I31" s="9"/>
      <c r="J31" s="9"/>
      <c r="K31" s="9"/>
      <c r="N31" s="9" t="s">
        <v>293</v>
      </c>
      <c r="O31" s="9" t="e">
        <f>VLOOKUP(Q31,'Steam Demand Data'!$AB$12:$AF$29,AC3,FALSE)</f>
        <v>#N/A</v>
      </c>
      <c r="P31" s="11">
        <v>1</v>
      </c>
      <c r="Q31" s="9" t="s">
        <v>294</v>
      </c>
      <c r="T31" s="9" t="s">
        <v>97</v>
      </c>
      <c r="U31" s="99">
        <f ca="1">Flowsheet!AF43</f>
        <v>15.069110883178867</v>
      </c>
      <c r="V31" s="10">
        <v>1</v>
      </c>
      <c r="W31" s="9" t="s">
        <v>295</v>
      </c>
      <c r="AC31" s="31"/>
      <c r="AJ31" s="26"/>
      <c r="AL31" s="26"/>
    </row>
    <row r="32" spans="2:38" x14ac:dyDescent="0.55000000000000004">
      <c r="C32">
        <f>C28+C27</f>
        <v>21.759999999999998</v>
      </c>
      <c r="E32">
        <v>4</v>
      </c>
      <c r="Q32">
        <v>5</v>
      </c>
      <c r="T32" s="9" t="s">
        <v>96</v>
      </c>
      <c r="U32" s="99">
        <f ca="1">Flowsheet!P36</f>
        <v>10.064886285587544</v>
      </c>
      <c r="V32" s="10">
        <v>1</v>
      </c>
      <c r="W32" s="9" t="s">
        <v>296</v>
      </c>
      <c r="AB32" s="149" t="s">
        <v>471</v>
      </c>
      <c r="AC32" s="149"/>
      <c r="AD32" s="149"/>
      <c r="AE32" s="149"/>
      <c r="AF32" s="149"/>
      <c r="AG32" s="149"/>
      <c r="AJ32" s="26"/>
      <c r="AL32" s="26"/>
    </row>
    <row r="33" spans="2:38" x14ac:dyDescent="0.55000000000000004">
      <c r="T33" s="9" t="s">
        <v>297</v>
      </c>
      <c r="U33" s="22">
        <f>VLOOKUP(W33,'Steam Demand Data'!$AB$46:$AG$48,AC6,FALSE)</f>
        <v>2.25</v>
      </c>
      <c r="V33" s="10">
        <v>0</v>
      </c>
      <c r="W33" s="9" t="s">
        <v>298</v>
      </c>
      <c r="AB33" s="56" t="s">
        <v>573</v>
      </c>
      <c r="AC33" s="102">
        <v>900</v>
      </c>
      <c r="AD33" s="56">
        <v>830</v>
      </c>
      <c r="AE33" s="102">
        <v>580</v>
      </c>
      <c r="AF33" s="102">
        <v>425</v>
      </c>
      <c r="AG33" s="9"/>
      <c r="AH33" s="35" t="s">
        <v>604</v>
      </c>
      <c r="AJ33" s="26"/>
      <c r="AL33" s="26"/>
    </row>
    <row r="34" spans="2:38" x14ac:dyDescent="0.55000000000000004">
      <c r="T34" s="9" t="s">
        <v>332</v>
      </c>
      <c r="U34" s="9" t="e">
        <f>VLOOKUP(W34,'Steam Demand Data'!$AB$12:$AF$29,AV27,FALSE)</f>
        <v>#N/A</v>
      </c>
      <c r="V34" s="9"/>
      <c r="W34" s="9" t="s">
        <v>315</v>
      </c>
      <c r="AB34" s="56" t="s">
        <v>247</v>
      </c>
      <c r="AC34" s="62">
        <v>35.68</v>
      </c>
      <c r="AD34" s="62">
        <v>33.85</v>
      </c>
      <c r="AE34" s="62">
        <v>32.884999999999998</v>
      </c>
      <c r="AF34" s="62">
        <v>32.25</v>
      </c>
      <c r="AG34" s="33"/>
      <c r="AJ34" s="26"/>
      <c r="AL34" s="26"/>
    </row>
    <row r="35" spans="2:38" x14ac:dyDescent="0.55000000000000004">
      <c r="M35" t="s">
        <v>358</v>
      </c>
      <c r="W35">
        <v>9</v>
      </c>
      <c r="AJ35" s="26"/>
      <c r="AL35" s="26"/>
    </row>
    <row r="36" spans="2:38" x14ac:dyDescent="0.55000000000000004">
      <c r="AB36" s="149" t="s">
        <v>365</v>
      </c>
      <c r="AC36" s="149"/>
      <c r="AD36" s="149"/>
      <c r="AE36" s="149"/>
      <c r="AF36" s="149"/>
      <c r="AG36" s="149"/>
      <c r="AJ36" s="26"/>
      <c r="AL36" s="26"/>
    </row>
    <row r="37" spans="2:38" x14ac:dyDescent="0.55000000000000004">
      <c r="W37" t="s">
        <v>337</v>
      </c>
      <c r="X37">
        <f>E32+Q32+W35+K21+Q21+W18</f>
        <v>49</v>
      </c>
      <c r="AB37" s="56" t="s">
        <v>570</v>
      </c>
      <c r="AC37" s="19" t="s">
        <v>399</v>
      </c>
      <c r="AD37" s="19" t="s">
        <v>473</v>
      </c>
      <c r="AE37" s="19" t="s">
        <v>472</v>
      </c>
      <c r="AF37" s="55" t="s">
        <v>400</v>
      </c>
      <c r="AG37" s="19" t="s">
        <v>476</v>
      </c>
      <c r="AJ37" s="26"/>
      <c r="AL37" s="26"/>
    </row>
    <row r="38" spans="2:38" x14ac:dyDescent="0.55000000000000004">
      <c r="AB38" s="19" t="s">
        <v>275</v>
      </c>
      <c r="AC38" s="33">
        <v>1.87</v>
      </c>
      <c r="AD38" s="33">
        <v>1.82</v>
      </c>
      <c r="AE38" s="33">
        <v>1.78</v>
      </c>
      <c r="AF38" s="83">
        <v>1.75</v>
      </c>
      <c r="AG38" s="33">
        <v>1.95</v>
      </c>
      <c r="AJ38" s="26"/>
      <c r="AL38" s="26"/>
    </row>
    <row r="39" spans="2:38" x14ac:dyDescent="0.55000000000000004">
      <c r="AB39" s="19" t="s">
        <v>281</v>
      </c>
      <c r="AC39" s="33">
        <v>1.1100000000000001</v>
      </c>
      <c r="AD39" s="33">
        <v>1.1100000000000001</v>
      </c>
      <c r="AE39" s="33">
        <v>0.99</v>
      </c>
      <c r="AF39" s="62">
        <v>0.93</v>
      </c>
      <c r="AG39" s="33">
        <v>0.85</v>
      </c>
      <c r="AJ39" s="26"/>
      <c r="AL39" s="26"/>
    </row>
    <row r="40" spans="2:38" x14ac:dyDescent="0.55000000000000004">
      <c r="AB40" s="19" t="s">
        <v>307</v>
      </c>
      <c r="AC40" s="33">
        <v>18.39</v>
      </c>
      <c r="AD40" s="33">
        <v>18.23</v>
      </c>
      <c r="AE40" s="33">
        <v>17.670000000000002</v>
      </c>
      <c r="AF40" s="62">
        <v>17.329999999999998</v>
      </c>
      <c r="AG40" s="33">
        <v>17.239999999999998</v>
      </c>
      <c r="AJ40" s="26"/>
      <c r="AL40" s="26"/>
    </row>
    <row r="41" spans="2:38" x14ac:dyDescent="0.55000000000000004">
      <c r="AB41" s="19" t="s">
        <v>290</v>
      </c>
      <c r="AC41" s="33">
        <v>1.71</v>
      </c>
      <c r="AD41" s="33">
        <v>1.57</v>
      </c>
      <c r="AE41" s="33">
        <v>1.41</v>
      </c>
      <c r="AF41" s="62">
        <v>1.27</v>
      </c>
      <c r="AG41" s="33">
        <v>1.02</v>
      </c>
      <c r="AJ41" s="26"/>
      <c r="AL41" s="26"/>
    </row>
    <row r="42" spans="2:38" x14ac:dyDescent="0.55000000000000004">
      <c r="B42" s="140" t="s">
        <v>299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AB42" s="56" t="s">
        <v>216</v>
      </c>
      <c r="AC42" s="12">
        <f>SUM(AC38:AC41)</f>
        <v>23.080000000000002</v>
      </c>
      <c r="AD42" s="12">
        <f>SUM(AD38:AD41)</f>
        <v>22.73</v>
      </c>
      <c r="AE42" s="12">
        <f>SUM(AE38:AE41)</f>
        <v>21.85</v>
      </c>
      <c r="AF42" s="12">
        <f>SUM(AF38:AF41)</f>
        <v>21.279999999999998</v>
      </c>
      <c r="AG42" s="12">
        <f>SUM(AG38:AG41)</f>
        <v>21.06</v>
      </c>
      <c r="AJ42" s="26"/>
      <c r="AL42" s="26"/>
    </row>
    <row r="43" spans="2:38" x14ac:dyDescent="0.55000000000000004">
      <c r="AJ43" s="26"/>
      <c r="AL43" s="26"/>
    </row>
    <row r="44" spans="2:38" x14ac:dyDescent="0.55000000000000004">
      <c r="B44" s="141" t="s">
        <v>227</v>
      </c>
      <c r="C44" s="142"/>
      <c r="D44" s="142"/>
      <c r="E44" s="143"/>
      <c r="H44" s="144" t="s">
        <v>228</v>
      </c>
      <c r="I44" s="145"/>
      <c r="J44" s="145"/>
      <c r="K44" s="146"/>
      <c r="N44" s="147" t="s">
        <v>229</v>
      </c>
      <c r="O44" s="147"/>
      <c r="P44" s="147"/>
      <c r="Q44" s="147"/>
      <c r="T44" s="148" t="s">
        <v>230</v>
      </c>
      <c r="U44" s="148"/>
      <c r="V44" s="148"/>
      <c r="W44" s="148"/>
      <c r="AB44" s="149" t="s">
        <v>530</v>
      </c>
      <c r="AC44" s="149"/>
      <c r="AD44" s="149"/>
      <c r="AE44" s="149"/>
      <c r="AF44" s="149"/>
      <c r="AG44" s="149"/>
      <c r="AJ44" s="26"/>
      <c r="AL44" s="26"/>
    </row>
    <row r="45" spans="2:38" x14ac:dyDescent="0.55000000000000004">
      <c r="B45" s="139" t="s">
        <v>232</v>
      </c>
      <c r="C45" s="139"/>
      <c r="D45" s="139"/>
      <c r="E45" s="139"/>
      <c r="H45" s="139" t="s">
        <v>232</v>
      </c>
      <c r="I45" s="139"/>
      <c r="J45" s="139"/>
      <c r="K45" s="139"/>
      <c r="N45" s="139" t="s">
        <v>232</v>
      </c>
      <c r="O45" s="139"/>
      <c r="P45" s="139"/>
      <c r="Q45" s="139"/>
      <c r="T45" s="139" t="s">
        <v>232</v>
      </c>
      <c r="U45" s="139"/>
      <c r="V45" s="139"/>
      <c r="W45" s="139"/>
      <c r="AB45" s="56" t="s">
        <v>531</v>
      </c>
      <c r="AC45" s="19" t="s">
        <v>399</v>
      </c>
      <c r="AD45" s="19" t="s">
        <v>473</v>
      </c>
      <c r="AE45" s="19" t="s">
        <v>472</v>
      </c>
      <c r="AF45" s="55" t="s">
        <v>400</v>
      </c>
      <c r="AG45" s="19" t="s">
        <v>476</v>
      </c>
      <c r="AJ45" s="26"/>
      <c r="AL45" s="26"/>
    </row>
    <row r="46" spans="2:38" x14ac:dyDescent="0.55000000000000004">
      <c r="B46" s="9" t="s">
        <v>168</v>
      </c>
      <c r="C46" s="9" t="s">
        <v>235</v>
      </c>
      <c r="D46" s="9" t="s">
        <v>236</v>
      </c>
      <c r="E46" s="9"/>
      <c r="H46" s="9" t="s">
        <v>168</v>
      </c>
      <c r="I46" s="9" t="s">
        <v>235</v>
      </c>
      <c r="J46" s="9" t="s">
        <v>236</v>
      </c>
      <c r="K46" s="9"/>
      <c r="N46" s="9" t="s">
        <v>168</v>
      </c>
      <c r="O46" s="9" t="s">
        <v>235</v>
      </c>
      <c r="P46" s="9" t="s">
        <v>236</v>
      </c>
      <c r="Q46" s="9"/>
      <c r="T46" s="9" t="s">
        <v>168</v>
      </c>
      <c r="U46" s="9" t="s">
        <v>235</v>
      </c>
      <c r="V46" s="9" t="s">
        <v>236</v>
      </c>
      <c r="W46" s="9"/>
      <c r="AB46" s="19" t="s">
        <v>276</v>
      </c>
      <c r="AC46" s="33">
        <v>8.5500000000000007</v>
      </c>
      <c r="AD46" s="33">
        <v>8.3699999999999992</v>
      </c>
      <c r="AE46" s="62">
        <v>8</v>
      </c>
      <c r="AF46" s="83">
        <v>8.07</v>
      </c>
      <c r="AG46" s="33">
        <v>8.4600000000000009</v>
      </c>
      <c r="AJ46" s="26"/>
      <c r="AL46" s="26"/>
    </row>
    <row r="47" spans="2:38" x14ac:dyDescent="0.55000000000000004">
      <c r="B47" s="9"/>
      <c r="C47" s="9"/>
      <c r="D47" s="9"/>
      <c r="E47" s="9"/>
      <c r="H47" s="9" t="s">
        <v>183</v>
      </c>
      <c r="I47" s="9" t="e">
        <f>I7</f>
        <v>#N/A</v>
      </c>
      <c r="J47" s="9"/>
      <c r="K47" s="9"/>
      <c r="N47" s="9" t="s">
        <v>183</v>
      </c>
      <c r="O47" s="9" t="e">
        <f>O7+O8+O18+O19+O20</f>
        <v>#N/A</v>
      </c>
      <c r="P47" s="9"/>
      <c r="Q47" s="9"/>
      <c r="T47" s="9" t="s">
        <v>338</v>
      </c>
      <c r="U47" s="9">
        <f>U10</f>
        <v>30.29</v>
      </c>
      <c r="V47" s="9">
        <f>U10*V10</f>
        <v>0</v>
      </c>
      <c r="W47" s="9"/>
      <c r="AB47" s="19" t="s">
        <v>317</v>
      </c>
      <c r="AC47" s="33">
        <v>0.32</v>
      </c>
      <c r="AD47" s="33">
        <v>0.32</v>
      </c>
      <c r="AE47" s="33">
        <v>0.32</v>
      </c>
      <c r="AF47" s="62">
        <v>0.32</v>
      </c>
      <c r="AG47" s="33">
        <v>0.32</v>
      </c>
      <c r="AJ47" s="26"/>
      <c r="AL47" s="26"/>
    </row>
    <row r="48" spans="2:38" x14ac:dyDescent="0.55000000000000004">
      <c r="B48" s="9"/>
      <c r="C48" s="9"/>
      <c r="D48" s="9"/>
      <c r="E48" s="9"/>
      <c r="H48" s="9"/>
      <c r="I48" s="9"/>
      <c r="J48" s="9"/>
      <c r="K48" s="9"/>
      <c r="N48" s="9" t="s">
        <v>206</v>
      </c>
      <c r="O48" s="9">
        <f>O9</f>
        <v>33.85</v>
      </c>
      <c r="P48" s="9">
        <f>O9*P9</f>
        <v>28.772500000000001</v>
      </c>
      <c r="Q48" s="9"/>
      <c r="T48" s="9" t="s">
        <v>222</v>
      </c>
      <c r="U48" s="9">
        <f>U7+U8+U14+U15+U16</f>
        <v>6.8900000000000006</v>
      </c>
      <c r="V48" s="9">
        <f>U7*V7+U8*V8+U14*V14+U15*V15+U16*V16</f>
        <v>0</v>
      </c>
      <c r="W48" s="9"/>
      <c r="AB48" s="19" t="s">
        <v>298</v>
      </c>
      <c r="AC48" s="33">
        <v>2.74</v>
      </c>
      <c r="AD48" s="33">
        <v>2.68</v>
      </c>
      <c r="AE48" s="33">
        <v>2.44</v>
      </c>
      <c r="AF48" s="62">
        <v>2.25</v>
      </c>
      <c r="AG48" s="33">
        <v>2.1800000000000002</v>
      </c>
      <c r="AJ48" s="26"/>
      <c r="AL48" s="26"/>
    </row>
    <row r="49" spans="2:38" x14ac:dyDescent="0.55000000000000004">
      <c r="B49" s="9"/>
      <c r="C49" s="9"/>
      <c r="D49" s="9"/>
      <c r="E49" s="9"/>
      <c r="H49" s="9"/>
      <c r="I49" s="9"/>
      <c r="J49" s="9"/>
      <c r="K49" s="9"/>
      <c r="N49" s="9" t="s">
        <v>207</v>
      </c>
      <c r="O49" s="9" t="e">
        <f>O10+O11+O12</f>
        <v>#N/A</v>
      </c>
      <c r="P49" s="9"/>
      <c r="Q49" s="9"/>
      <c r="T49" s="9" t="s">
        <v>223</v>
      </c>
      <c r="U49" s="22">
        <f>U13</f>
        <v>2.4635750000000001</v>
      </c>
      <c r="V49" s="9">
        <f>U13*V13</f>
        <v>0</v>
      </c>
      <c r="W49" s="9"/>
      <c r="AB49" s="56" t="s">
        <v>216</v>
      </c>
      <c r="AC49" s="12">
        <f>SUM(AC46:AC48)</f>
        <v>11.610000000000001</v>
      </c>
      <c r="AD49" s="12">
        <f>SUM(AD46:AD48)</f>
        <v>11.37</v>
      </c>
      <c r="AE49" s="12">
        <f>SUM(AE46:AE48)</f>
        <v>10.76</v>
      </c>
      <c r="AF49" s="12">
        <f>SUM(AF46:AF48)</f>
        <v>10.64</v>
      </c>
      <c r="AG49" s="12">
        <f>SUM(AG46:AG48)</f>
        <v>10.96</v>
      </c>
      <c r="AJ49" s="26"/>
      <c r="AL49" s="26"/>
    </row>
    <row r="50" spans="2:38" x14ac:dyDescent="0.55000000000000004">
      <c r="B50" s="9"/>
      <c r="C50" s="9"/>
      <c r="D50" s="9"/>
      <c r="E50" s="9"/>
      <c r="H50" s="9"/>
      <c r="I50" s="9"/>
      <c r="J50" s="9"/>
      <c r="K50" s="9"/>
      <c r="N50" s="9" t="s">
        <v>338</v>
      </c>
      <c r="O50" s="9">
        <f>O17+O13</f>
        <v>25.75</v>
      </c>
      <c r="P50" s="9">
        <f>O17*P17+O13*P13</f>
        <v>21.29</v>
      </c>
      <c r="Q50" s="9"/>
      <c r="T50" s="17" t="s">
        <v>340</v>
      </c>
      <c r="U50" s="9">
        <f>U11+U12</f>
        <v>6</v>
      </c>
      <c r="V50" s="9">
        <f>U11*V11+U12*V12</f>
        <v>6</v>
      </c>
      <c r="W50" s="9"/>
      <c r="AJ50" s="26"/>
      <c r="AL50" s="26"/>
    </row>
    <row r="51" spans="2:38" x14ac:dyDescent="0.55000000000000004">
      <c r="B51" s="9"/>
      <c r="C51" s="9"/>
      <c r="D51" s="9"/>
      <c r="E51" s="9"/>
      <c r="H51" s="9"/>
      <c r="I51" s="9"/>
      <c r="J51" s="9"/>
      <c r="K51" s="9"/>
      <c r="N51" s="9" t="s">
        <v>209</v>
      </c>
      <c r="O51" s="9" t="e">
        <f>O15</f>
        <v>#N/A</v>
      </c>
      <c r="P51" s="9"/>
      <c r="Q51" s="9"/>
      <c r="T51" s="9"/>
      <c r="U51" s="9"/>
      <c r="V51" s="9"/>
      <c r="W51" s="9"/>
      <c r="AJ51" s="26"/>
      <c r="AL51" s="26"/>
    </row>
    <row r="52" spans="2:38" x14ac:dyDescent="0.55000000000000004">
      <c r="N52" s="9" t="s">
        <v>340</v>
      </c>
      <c r="O52" s="9">
        <f>O16+O14</f>
        <v>10.41</v>
      </c>
      <c r="P52" s="9">
        <f>O16*P16+O14*P14</f>
        <v>0</v>
      </c>
      <c r="Q52" s="9"/>
      <c r="U52">
        <f>SUM(U47:U50)</f>
        <v>45.643574999999998</v>
      </c>
      <c r="AJ52" s="26"/>
      <c r="AL52" s="26"/>
    </row>
    <row r="53" spans="2:38" x14ac:dyDescent="0.55000000000000004">
      <c r="AJ53" s="26"/>
      <c r="AL53" s="26"/>
    </row>
    <row r="54" spans="2:38" x14ac:dyDescent="0.55000000000000004">
      <c r="B54" s="139" t="s">
        <v>271</v>
      </c>
      <c r="C54" s="139"/>
      <c r="D54" s="139"/>
      <c r="E54" s="139"/>
      <c r="H54" s="139" t="s">
        <v>271</v>
      </c>
      <c r="I54" s="139"/>
      <c r="J54" s="139"/>
      <c r="K54" s="139"/>
      <c r="N54" s="139" t="s">
        <v>271</v>
      </c>
      <c r="O54" s="139"/>
      <c r="P54" s="139"/>
      <c r="Q54" s="139"/>
      <c r="T54" s="139" t="s">
        <v>271</v>
      </c>
      <c r="U54" s="139"/>
      <c r="V54" s="139"/>
      <c r="W54" s="139"/>
      <c r="AJ54" s="26"/>
      <c r="AL54" s="26"/>
    </row>
    <row r="55" spans="2:38" x14ac:dyDescent="0.55000000000000004">
      <c r="B55" s="9" t="s">
        <v>168</v>
      </c>
      <c r="C55" s="9" t="s">
        <v>235</v>
      </c>
      <c r="D55" s="9" t="s">
        <v>236</v>
      </c>
      <c r="E55" s="9"/>
      <c r="H55" s="9" t="s">
        <v>168</v>
      </c>
      <c r="I55" s="9" t="s">
        <v>235</v>
      </c>
      <c r="J55" s="9" t="s">
        <v>236</v>
      </c>
      <c r="K55" s="9"/>
      <c r="N55" s="9" t="s">
        <v>168</v>
      </c>
      <c r="O55" s="9" t="s">
        <v>235</v>
      </c>
      <c r="P55" s="9" t="s">
        <v>236</v>
      </c>
      <c r="Q55" s="9"/>
      <c r="T55" s="9" t="s">
        <v>168</v>
      </c>
      <c r="U55" s="9" t="s">
        <v>235</v>
      </c>
      <c r="V55" s="9" t="s">
        <v>236</v>
      </c>
      <c r="W55" s="9"/>
      <c r="AJ55" s="26"/>
      <c r="AL55" s="26"/>
    </row>
    <row r="56" spans="2:38" x14ac:dyDescent="0.55000000000000004">
      <c r="B56" s="9" t="s">
        <v>213</v>
      </c>
      <c r="C56" s="9">
        <f>C27+C28+C29</f>
        <v>26.759999999999998</v>
      </c>
      <c r="D56" s="9">
        <f>C27*D27+C28*D28</f>
        <v>0</v>
      </c>
      <c r="E56" s="9"/>
      <c r="H56" s="9"/>
      <c r="I56" s="9"/>
      <c r="J56" s="9"/>
      <c r="K56" s="9"/>
      <c r="N56" s="9" t="s">
        <v>213</v>
      </c>
      <c r="O56" s="9">
        <f>O27+O28+O29+O30</f>
        <v>21.279999999999998</v>
      </c>
      <c r="P56" s="9">
        <f>O27*P27+O28*P28+O29*P29+O30*P30</f>
        <v>19.079999999999998</v>
      </c>
      <c r="Q56" s="9"/>
      <c r="T56" s="9" t="s">
        <v>213</v>
      </c>
      <c r="U56" s="12">
        <f>U27</f>
        <v>8.39</v>
      </c>
      <c r="V56" s="9">
        <f>U27*V27</f>
        <v>8.39</v>
      </c>
      <c r="W56" s="9"/>
      <c r="AJ56" s="26"/>
      <c r="AL56" s="26"/>
    </row>
    <row r="57" spans="2:38" x14ac:dyDescent="0.55000000000000004">
      <c r="B57" s="9"/>
      <c r="C57" s="9"/>
      <c r="D57" s="9"/>
      <c r="E57" s="9"/>
      <c r="H57" s="9"/>
      <c r="I57" s="9"/>
      <c r="J57" s="9"/>
      <c r="K57" s="9"/>
      <c r="N57" s="9"/>
      <c r="O57" s="9"/>
      <c r="P57" s="9"/>
      <c r="Q57" s="9"/>
      <c r="T57" s="9" t="s">
        <v>224</v>
      </c>
      <c r="U57" s="16">
        <f>U28+U29</f>
        <v>68.756181999999995</v>
      </c>
      <c r="V57" s="12">
        <f>U28*V28+U29*V29</f>
        <v>67.336684320000003</v>
      </c>
      <c r="W57" s="9"/>
      <c r="AJ57" s="26"/>
      <c r="AL57" s="26"/>
    </row>
    <row r="58" spans="2:38" x14ac:dyDescent="0.55000000000000004">
      <c r="B58" s="9"/>
      <c r="C58" s="9"/>
      <c r="D58" s="9"/>
      <c r="E58" s="9"/>
      <c r="H58" s="9"/>
      <c r="I58" s="9"/>
      <c r="J58" s="9"/>
      <c r="K58" s="9"/>
      <c r="N58" s="9"/>
      <c r="O58" s="9"/>
      <c r="P58" s="9"/>
      <c r="Q58" s="9"/>
      <c r="T58" s="9" t="s">
        <v>225</v>
      </c>
      <c r="U58" s="16">
        <f ca="1">U30+U31+U32</f>
        <v>39.921839045737229</v>
      </c>
      <c r="V58" s="12">
        <f ca="1">U30*V30+U31*V31+U32*V32</f>
        <v>39.921839045737229</v>
      </c>
      <c r="W58" s="9"/>
      <c r="AJ58" s="26"/>
      <c r="AL58" s="26"/>
    </row>
    <row r="59" spans="2:38" x14ac:dyDescent="0.55000000000000004">
      <c r="B59" s="9"/>
      <c r="C59" s="9"/>
      <c r="D59" s="9"/>
      <c r="E59" s="9"/>
      <c r="H59" s="9"/>
      <c r="I59" s="9"/>
      <c r="J59" s="9"/>
      <c r="K59" s="9"/>
      <c r="N59" s="9"/>
      <c r="O59" s="9"/>
      <c r="P59" s="9"/>
      <c r="Q59" s="9"/>
      <c r="T59" s="9" t="s">
        <v>297</v>
      </c>
      <c r="U59" s="12">
        <f>U33</f>
        <v>2.25</v>
      </c>
      <c r="V59" s="9">
        <f>U59*V33</f>
        <v>0</v>
      </c>
      <c r="W59" s="9"/>
      <c r="AJ59" s="26"/>
      <c r="AL59" s="26"/>
    </row>
    <row r="60" spans="2:38" x14ac:dyDescent="0.55000000000000004">
      <c r="V60" s="16"/>
      <c r="AL60" s="26"/>
    </row>
    <row r="61" spans="2:38" x14ac:dyDescent="0.55000000000000004">
      <c r="U61" s="26"/>
      <c r="AL61" s="26"/>
    </row>
    <row r="63" spans="2:38" x14ac:dyDescent="0.55000000000000004">
      <c r="B63" t="s">
        <v>534</v>
      </c>
      <c r="D63" t="s">
        <v>230</v>
      </c>
      <c r="E63" t="s">
        <v>229</v>
      </c>
      <c r="F63" t="s">
        <v>227</v>
      </c>
      <c r="G63" t="s">
        <v>216</v>
      </c>
      <c r="I63" s="140" t="s">
        <v>302</v>
      </c>
      <c r="J63" s="140"/>
      <c r="K63" s="140"/>
      <c r="O63" t="s">
        <v>335</v>
      </c>
      <c r="P63" t="s">
        <v>168</v>
      </c>
      <c r="Q63" t="s">
        <v>334</v>
      </c>
    </row>
    <row r="64" spans="2:38" x14ac:dyDescent="0.55000000000000004">
      <c r="B64" t="s">
        <v>535</v>
      </c>
      <c r="C64" t="s">
        <v>536</v>
      </c>
      <c r="D64" s="94">
        <f ca="1">SUM(D65:D74)</f>
        <v>164.96159604573725</v>
      </c>
      <c r="E64" s="94">
        <f t="shared" ref="E64" si="0">SUM(E65:E74)</f>
        <v>91.289999999999992</v>
      </c>
      <c r="G64" s="94">
        <f ca="1">SUM(G65:G74)</f>
        <v>256.25159604573724</v>
      </c>
      <c r="O64" t="s">
        <v>333</v>
      </c>
      <c r="P64" t="s">
        <v>305</v>
      </c>
      <c r="Q64" t="s">
        <v>273</v>
      </c>
      <c r="R64" t="s">
        <v>300</v>
      </c>
      <c r="S64" t="s">
        <v>322</v>
      </c>
      <c r="T64" t="s">
        <v>301</v>
      </c>
    </row>
    <row r="65" spans="2:30" x14ac:dyDescent="0.55000000000000004">
      <c r="B65" t="s">
        <v>537</v>
      </c>
      <c r="C65" t="s">
        <v>536</v>
      </c>
      <c r="D65" s="29">
        <f>U47</f>
        <v>30.29</v>
      </c>
      <c r="E65" s="29">
        <f>O50</f>
        <v>25.75</v>
      </c>
      <c r="G65" s="29">
        <f t="shared" ref="G65:G74" si="1">SUM(D65:E65)</f>
        <v>56.04</v>
      </c>
      <c r="I65" s="9" t="s">
        <v>168</v>
      </c>
      <c r="J65" s="9" t="s">
        <v>303</v>
      </c>
      <c r="K65" s="9" t="s">
        <v>236</v>
      </c>
    </row>
    <row r="66" spans="2:30" x14ac:dyDescent="0.55000000000000004">
      <c r="B66" t="s">
        <v>538</v>
      </c>
      <c r="C66" t="s">
        <v>536</v>
      </c>
      <c r="D66" s="29"/>
      <c r="E66" s="29"/>
      <c r="G66" s="29">
        <f t="shared" si="1"/>
        <v>0</v>
      </c>
      <c r="I66" s="9" t="s">
        <v>183</v>
      </c>
      <c r="J66" s="9" t="e">
        <f>I47+O47</f>
        <v>#N/A</v>
      </c>
      <c r="K66" s="13" t="e">
        <f>SUMPRODUCT(O7:O8,P7:P8)+I7*J7+O18*P18+O19*P19+O20*P20</f>
        <v>#N/A</v>
      </c>
      <c r="O66" t="s">
        <v>228</v>
      </c>
      <c r="P66" t="s">
        <v>183</v>
      </c>
      <c r="Q66" t="s">
        <v>238</v>
      </c>
    </row>
    <row r="67" spans="2:30" x14ac:dyDescent="0.55000000000000004">
      <c r="B67" t="s">
        <v>539</v>
      </c>
      <c r="C67" t="s">
        <v>536</v>
      </c>
      <c r="D67" s="29">
        <f>U50</f>
        <v>6</v>
      </c>
      <c r="E67" s="29">
        <f>O52</f>
        <v>10.41</v>
      </c>
      <c r="G67" s="29">
        <f t="shared" si="1"/>
        <v>16.41</v>
      </c>
      <c r="I67" s="9" t="s">
        <v>206</v>
      </c>
      <c r="J67" s="9">
        <f>O48</f>
        <v>33.85</v>
      </c>
      <c r="K67" s="13">
        <f>P48</f>
        <v>28.772500000000001</v>
      </c>
    </row>
    <row r="68" spans="2:30" x14ac:dyDescent="0.55000000000000004">
      <c r="B68" t="s">
        <v>540</v>
      </c>
      <c r="C68" t="s">
        <v>536</v>
      </c>
      <c r="D68" s="29">
        <f>'Scenario Setup'!C16</f>
        <v>33.268740000000001</v>
      </c>
      <c r="E68" s="29"/>
      <c r="G68" s="29">
        <f t="shared" si="1"/>
        <v>33.268740000000001</v>
      </c>
      <c r="I68" s="9" t="s">
        <v>207</v>
      </c>
      <c r="J68" s="9" t="e">
        <f>O49</f>
        <v>#N/A</v>
      </c>
      <c r="K68" s="13" t="e">
        <f>SUMPRODUCT(O10:O12,P10:P12)</f>
        <v>#N/A</v>
      </c>
      <c r="O68" t="s">
        <v>229</v>
      </c>
      <c r="P68" t="s">
        <v>183</v>
      </c>
      <c r="Q68" t="s">
        <v>240</v>
      </c>
      <c r="R68" t="s">
        <v>262</v>
      </c>
      <c r="S68" t="s">
        <v>318</v>
      </c>
      <c r="T68" t="s">
        <v>319</v>
      </c>
      <c r="U68" t="s">
        <v>321</v>
      </c>
      <c r="V68" t="s">
        <v>341</v>
      </c>
      <c r="W68" t="s">
        <v>320</v>
      </c>
    </row>
    <row r="69" spans="2:30" x14ac:dyDescent="0.55000000000000004">
      <c r="B69" t="s">
        <v>541</v>
      </c>
      <c r="C69" t="s">
        <v>536</v>
      </c>
      <c r="D69" s="29">
        <f>'Scenario Setup'!C17</f>
        <v>35.487442000000001</v>
      </c>
      <c r="E69" s="29"/>
      <c r="G69" s="29">
        <f t="shared" si="1"/>
        <v>35.487442000000001</v>
      </c>
      <c r="I69" s="9" t="s">
        <v>208</v>
      </c>
      <c r="J69" s="12">
        <f>U47+O50+U50+O52</f>
        <v>72.45</v>
      </c>
      <c r="K69" s="13">
        <f>P50+P52+V47+V50</f>
        <v>27.29</v>
      </c>
      <c r="P69" t="s">
        <v>206</v>
      </c>
      <c r="Q69" t="s">
        <v>247</v>
      </c>
    </row>
    <row r="70" spans="2:30" x14ac:dyDescent="0.55000000000000004">
      <c r="B70" t="s">
        <v>542</v>
      </c>
      <c r="C70" t="s">
        <v>536</v>
      </c>
      <c r="D70" s="29">
        <f ca="1">Flowsheet!BE36</f>
        <v>14.78784187697082</v>
      </c>
      <c r="E70" s="29">
        <f>O29+O30</f>
        <v>18.599999999999998</v>
      </c>
      <c r="G70" s="29">
        <f t="shared" ca="1" si="1"/>
        <v>33.387841876970818</v>
      </c>
      <c r="I70" s="9" t="s">
        <v>209</v>
      </c>
      <c r="J70" s="9" t="e">
        <f>O51</f>
        <v>#N/A</v>
      </c>
      <c r="K70" s="13" t="e">
        <f>O15*P15</f>
        <v>#N/A</v>
      </c>
      <c r="P70" t="s">
        <v>207</v>
      </c>
      <c r="Q70" t="s">
        <v>342</v>
      </c>
      <c r="R70" t="s">
        <v>252</v>
      </c>
      <c r="S70" t="s">
        <v>255</v>
      </c>
      <c r="T70" t="s">
        <v>270</v>
      </c>
    </row>
    <row r="71" spans="2:30" x14ac:dyDescent="0.55000000000000004">
      <c r="B71" t="s">
        <v>543</v>
      </c>
      <c r="C71" t="s">
        <v>536</v>
      </c>
      <c r="D71" s="29">
        <f ca="1">U27+Flowsheet!AF43</f>
        <v>23.459110883178866</v>
      </c>
      <c r="E71" s="29">
        <f>O27+O28</f>
        <v>2.68</v>
      </c>
      <c r="G71" s="29">
        <f t="shared" ca="1" si="1"/>
        <v>26.139110883178866</v>
      </c>
      <c r="I71" s="17" t="s">
        <v>223</v>
      </c>
      <c r="J71" s="25">
        <f>U49</f>
        <v>2.4635750000000001</v>
      </c>
      <c r="K71" s="3">
        <f>V49</f>
        <v>0</v>
      </c>
      <c r="P71" t="s">
        <v>338</v>
      </c>
      <c r="Q71" t="s">
        <v>316</v>
      </c>
      <c r="R71" t="s">
        <v>277</v>
      </c>
      <c r="S71" t="s">
        <v>284</v>
      </c>
    </row>
    <row r="72" spans="2:30" x14ac:dyDescent="0.55000000000000004">
      <c r="B72" t="s">
        <v>544</v>
      </c>
      <c r="C72" t="s">
        <v>536</v>
      </c>
      <c r="D72" s="29">
        <f>U48</f>
        <v>6.8900000000000006</v>
      </c>
      <c r="E72" s="29"/>
      <c r="G72" s="29">
        <f t="shared" si="1"/>
        <v>6.8900000000000006</v>
      </c>
      <c r="I72" s="9" t="s">
        <v>304</v>
      </c>
      <c r="J72" s="9">
        <f>U48</f>
        <v>6.8900000000000006</v>
      </c>
      <c r="K72" s="13">
        <f>V48</f>
        <v>0</v>
      </c>
      <c r="P72" t="s">
        <v>339</v>
      </c>
      <c r="Q72" t="s">
        <v>269</v>
      </c>
      <c r="R72" t="s">
        <v>292</v>
      </c>
      <c r="S72" t="s">
        <v>288</v>
      </c>
    </row>
    <row r="73" spans="2:30" x14ac:dyDescent="0.55000000000000004">
      <c r="B73" t="s">
        <v>545</v>
      </c>
      <c r="C73" t="s">
        <v>536</v>
      </c>
      <c r="D73" s="29"/>
      <c r="E73" s="29">
        <f>O48</f>
        <v>33.85</v>
      </c>
      <c r="G73" s="29">
        <f t="shared" si="1"/>
        <v>33.85</v>
      </c>
      <c r="I73" s="9" t="s">
        <v>305</v>
      </c>
      <c r="J73" s="12">
        <f ca="1">C56+O56+U57+U58+U56+U59</f>
        <v>167.35802104573719</v>
      </c>
      <c r="K73" s="71">
        <f ca="1">D56+P56+V56+V57+V58+V59</f>
        <v>134.72852336573723</v>
      </c>
      <c r="P73" t="s">
        <v>209</v>
      </c>
      <c r="Q73" t="s">
        <v>265</v>
      </c>
    </row>
    <row r="74" spans="2:30" x14ac:dyDescent="0.55000000000000004">
      <c r="B74" t="s">
        <v>546</v>
      </c>
      <c r="C74" t="s">
        <v>536</v>
      </c>
      <c r="D74" s="29">
        <f ca="1">U49+U59+Flowsheet!P36</f>
        <v>14.778461285587545</v>
      </c>
      <c r="E74" s="29"/>
      <c r="G74" s="29">
        <f t="shared" ca="1" si="1"/>
        <v>14.778461285587545</v>
      </c>
      <c r="I74" s="9" t="s">
        <v>216</v>
      </c>
      <c r="J74" s="22">
        <f ca="1">J73+J72+J71+J69+J67</f>
        <v>283.01159604573718</v>
      </c>
      <c r="K74" s="22">
        <f ca="1">K73+K72+K71+K69+K67</f>
        <v>190.79102336573723</v>
      </c>
      <c r="P74" t="s">
        <v>305</v>
      </c>
      <c r="Q74" t="s">
        <v>275</v>
      </c>
      <c r="R74" t="s">
        <v>281</v>
      </c>
      <c r="S74" t="s">
        <v>307</v>
      </c>
      <c r="T74" t="s">
        <v>290</v>
      </c>
      <c r="U74" t="s">
        <v>294</v>
      </c>
      <c r="V74" s="36" t="s">
        <v>242</v>
      </c>
    </row>
    <row r="76" spans="2:30" x14ac:dyDescent="0.55000000000000004">
      <c r="B76" t="s">
        <v>569</v>
      </c>
      <c r="F76" s="29">
        <f>SUM(C27:C29)</f>
        <v>26.759999999999998</v>
      </c>
      <c r="G76" s="29">
        <f>SUM(D76:F76)</f>
        <v>26.759999999999998</v>
      </c>
      <c r="J76" s="16"/>
      <c r="K76" s="16"/>
      <c r="O76" t="s">
        <v>230</v>
      </c>
      <c r="P76" t="s">
        <v>338</v>
      </c>
      <c r="Q76" t="s">
        <v>253</v>
      </c>
    </row>
    <row r="77" spans="2:30" x14ac:dyDescent="0.55000000000000004">
      <c r="J77" s="16"/>
      <c r="P77" t="s">
        <v>339</v>
      </c>
      <c r="Q77" t="s">
        <v>257</v>
      </c>
      <c r="R77" t="s">
        <v>261</v>
      </c>
    </row>
    <row r="78" spans="2:30" x14ac:dyDescent="0.55000000000000004">
      <c r="P78" t="s">
        <v>222</v>
      </c>
      <c r="R78" s="1" t="s">
        <v>245</v>
      </c>
      <c r="S78" s="1"/>
      <c r="T78" s="1" t="s">
        <v>311</v>
      </c>
      <c r="U78" s="37" t="s">
        <v>312</v>
      </c>
      <c r="V78" s="37" t="s">
        <v>313</v>
      </c>
      <c r="W78" s="37"/>
      <c r="Z78" s="38" t="s">
        <v>245</v>
      </c>
      <c r="AA78" t="s">
        <v>343</v>
      </c>
      <c r="AB78" s="37" t="s">
        <v>314</v>
      </c>
      <c r="AD78" s="1" t="s">
        <v>249</v>
      </c>
    </row>
    <row r="79" spans="2:30" x14ac:dyDescent="0.55000000000000004">
      <c r="P79" t="s">
        <v>223</v>
      </c>
      <c r="Q79" t="s">
        <v>267</v>
      </c>
    </row>
    <row r="80" spans="2:30" x14ac:dyDescent="0.55000000000000004">
      <c r="J80" s="25"/>
      <c r="P80" t="s">
        <v>305</v>
      </c>
      <c r="Q80" t="s">
        <v>276</v>
      </c>
      <c r="R80" t="s">
        <v>315</v>
      </c>
      <c r="S80" t="s">
        <v>283</v>
      </c>
      <c r="T80" t="s">
        <v>287</v>
      </c>
      <c r="U80" t="s">
        <v>298</v>
      </c>
      <c r="V80" t="s">
        <v>291</v>
      </c>
      <c r="W80" t="s">
        <v>295</v>
      </c>
      <c r="X80" t="s">
        <v>296</v>
      </c>
      <c r="Y80" t="s">
        <v>317</v>
      </c>
    </row>
  </sheetData>
  <mergeCells count="31">
    <mergeCell ref="AB10:AF10"/>
    <mergeCell ref="AB36:AG36"/>
    <mergeCell ref="AB44:AG44"/>
    <mergeCell ref="B42:W42"/>
    <mergeCell ref="B44:E44"/>
    <mergeCell ref="H44:K44"/>
    <mergeCell ref="N44:Q44"/>
    <mergeCell ref="T44:W44"/>
    <mergeCell ref="AB32:AG32"/>
    <mergeCell ref="I63:K63"/>
    <mergeCell ref="B45:E45"/>
    <mergeCell ref="H45:K45"/>
    <mergeCell ref="N45:Q45"/>
    <mergeCell ref="T45:W45"/>
    <mergeCell ref="B54:E54"/>
    <mergeCell ref="H54:K54"/>
    <mergeCell ref="N54:Q54"/>
    <mergeCell ref="T54:W54"/>
    <mergeCell ref="B2:W2"/>
    <mergeCell ref="B4:E4"/>
    <mergeCell ref="H4:K4"/>
    <mergeCell ref="N4:Q4"/>
    <mergeCell ref="T4:W4"/>
    <mergeCell ref="B5:E5"/>
    <mergeCell ref="H5:K5"/>
    <mergeCell ref="N5:Q5"/>
    <mergeCell ref="T5:W5"/>
    <mergeCell ref="B25:E25"/>
    <mergeCell ref="H25:K25"/>
    <mergeCell ref="N25:Q25"/>
    <mergeCell ref="T25:W25"/>
  </mergeCells>
  <phoneticPr fontId="6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7B34-3F50-4713-AB26-1F4B356F9D4B}">
  <sheetPr codeName="Sheet1"/>
  <dimension ref="B1:R75"/>
  <sheetViews>
    <sheetView showGridLines="0" workbookViewId="0">
      <selection activeCell="H11" sqref="H11"/>
    </sheetView>
  </sheetViews>
  <sheetFormatPr defaultRowHeight="14.4" x14ac:dyDescent="0.55000000000000004"/>
  <cols>
    <col min="2" max="2" width="28.26171875" bestFit="1" customWidth="1"/>
    <col min="5" max="5" width="16.68359375" bestFit="1" customWidth="1"/>
    <col min="6" max="6" width="11.578125" customWidth="1"/>
    <col min="7" max="7" width="32.26171875" bestFit="1" customWidth="1"/>
    <col min="8" max="8" width="11.26171875" bestFit="1" customWidth="1"/>
    <col min="9" max="9" width="13.68359375" bestFit="1" customWidth="1"/>
    <col min="10" max="10" width="13.26171875" bestFit="1" customWidth="1"/>
    <col min="11" max="11" width="25" bestFit="1" customWidth="1"/>
    <col min="15" max="15" width="8.83984375" customWidth="1"/>
  </cols>
  <sheetData>
    <row r="1" spans="2:16" x14ac:dyDescent="0.55000000000000004">
      <c r="B1" s="140" t="s">
        <v>592</v>
      </c>
      <c r="C1" s="140"/>
      <c r="F1" s="153" t="s">
        <v>651</v>
      </c>
      <c r="G1" s="140"/>
      <c r="H1" s="140"/>
      <c r="K1" s="140" t="s">
        <v>577</v>
      </c>
      <c r="L1" s="140"/>
      <c r="M1" s="140"/>
      <c r="N1" s="140"/>
    </row>
    <row r="3" spans="2:16" ht="14.5" customHeight="1" x14ac:dyDescent="0.55000000000000004">
      <c r="B3" s="19" t="s">
        <v>593</v>
      </c>
      <c r="C3" s="19" t="s">
        <v>234</v>
      </c>
      <c r="F3" s="19" t="s">
        <v>594</v>
      </c>
      <c r="G3" s="112" t="s">
        <v>593</v>
      </c>
      <c r="H3" s="112" t="s">
        <v>234</v>
      </c>
      <c r="K3" s="149" t="s">
        <v>403</v>
      </c>
      <c r="L3" s="149"/>
      <c r="M3" s="149"/>
      <c r="N3" s="149"/>
      <c r="O3" s="116"/>
    </row>
    <row r="4" spans="2:16" x14ac:dyDescent="0.55000000000000004">
      <c r="B4" s="9" t="s">
        <v>635</v>
      </c>
      <c r="C4" s="77">
        <v>1000</v>
      </c>
      <c r="F4" s="150">
        <v>1</v>
      </c>
      <c r="G4" s="9" t="s">
        <v>478</v>
      </c>
      <c r="H4" s="77" t="b">
        <v>0</v>
      </c>
      <c r="K4" s="19" t="s">
        <v>649</v>
      </c>
      <c r="L4" s="9">
        <v>1000</v>
      </c>
      <c r="M4" s="9">
        <v>700</v>
      </c>
      <c r="N4" s="9">
        <v>500</v>
      </c>
      <c r="O4" s="116">
        <v>1200</v>
      </c>
    </row>
    <row r="5" spans="2:16" ht="14.5" customHeight="1" x14ac:dyDescent="0.55000000000000004">
      <c r="B5" s="9" t="s">
        <v>636</v>
      </c>
      <c r="C5" s="78">
        <v>0.5</v>
      </c>
      <c r="F5" s="150"/>
      <c r="G5" s="9" t="s">
        <v>598</v>
      </c>
      <c r="H5" s="20">
        <v>300</v>
      </c>
      <c r="K5" s="19" t="s">
        <v>404</v>
      </c>
      <c r="L5" s="20">
        <v>6565</v>
      </c>
      <c r="M5" s="20">
        <v>4501</v>
      </c>
      <c r="N5" s="20">
        <v>3048</v>
      </c>
      <c r="O5" s="121">
        <v>10056.556299190801</v>
      </c>
    </row>
    <row r="6" spans="2:16" x14ac:dyDescent="0.55000000000000004">
      <c r="B6" s="9" t="s">
        <v>637</v>
      </c>
      <c r="C6" s="77">
        <v>4100</v>
      </c>
      <c r="F6" s="151">
        <v>2</v>
      </c>
      <c r="G6" s="9" t="s">
        <v>642</v>
      </c>
      <c r="H6" s="20">
        <v>80</v>
      </c>
      <c r="K6" s="19" t="s">
        <v>367</v>
      </c>
      <c r="L6" s="108">
        <v>0.16300000000000001</v>
      </c>
      <c r="M6" s="109">
        <v>0.16500000000000001</v>
      </c>
      <c r="N6" s="109">
        <v>0.16700000000000001</v>
      </c>
      <c r="O6" s="117">
        <f>L6</f>
        <v>0.16300000000000001</v>
      </c>
      <c r="P6" s="35" t="s">
        <v>604</v>
      </c>
    </row>
    <row r="7" spans="2:16" x14ac:dyDescent="0.55000000000000004">
      <c r="B7" s="9" t="s">
        <v>638</v>
      </c>
      <c r="C7" s="79">
        <v>830</v>
      </c>
      <c r="F7" s="152"/>
      <c r="G7" s="9" t="s">
        <v>643</v>
      </c>
      <c r="H7" s="20">
        <v>1000</v>
      </c>
      <c r="K7" s="19" t="s">
        <v>376</v>
      </c>
      <c r="L7" s="13">
        <v>85</v>
      </c>
      <c r="M7" s="13">
        <v>85</v>
      </c>
      <c r="N7" s="13">
        <v>85</v>
      </c>
      <c r="O7" s="116">
        <f>L7</f>
        <v>85</v>
      </c>
    </row>
    <row r="8" spans="2:16" x14ac:dyDescent="0.55000000000000004">
      <c r="B8" s="17" t="s">
        <v>639</v>
      </c>
      <c r="C8" s="20">
        <v>0</v>
      </c>
      <c r="F8" s="113" t="s">
        <v>595</v>
      </c>
      <c r="G8" s="9" t="s">
        <v>507</v>
      </c>
      <c r="H8" s="77" t="b">
        <v>0</v>
      </c>
      <c r="K8" s="19" t="s">
        <v>398</v>
      </c>
      <c r="L8" s="32" cm="1">
        <f t="array" ref="L8">(L5/1000/60*rho_BL(L7,L6))*L6*3.6*24</f>
        <v>1654.8681780202546</v>
      </c>
      <c r="M8" s="32" cm="1">
        <f t="array" ref="M8">(M5/1000/60*rho_BL(M7,M6))*M6*3.6*24</f>
        <v>1149.8598211414701</v>
      </c>
      <c r="N8" s="32" cm="1">
        <f t="array" ref="N8">(N5/1000/60*rho_BL(N7,N6))*N6*3.6*24</f>
        <v>789.03023826084745</v>
      </c>
      <c r="O8" s="32" cm="1">
        <f t="array" ref="O8">(O5/1000/60*rho_BL(O7,O6))*O6*3.6*24</f>
        <v>2534.9999999999991</v>
      </c>
    </row>
    <row r="9" spans="2:16" x14ac:dyDescent="0.55000000000000004">
      <c r="B9" s="9" t="s">
        <v>640</v>
      </c>
      <c r="C9" s="20">
        <v>0</v>
      </c>
      <c r="F9" s="113" t="s">
        <v>596</v>
      </c>
      <c r="G9" s="9" t="s">
        <v>508</v>
      </c>
      <c r="H9" s="77" t="b">
        <v>0</v>
      </c>
    </row>
    <row r="10" spans="2:16" x14ac:dyDescent="0.55000000000000004">
      <c r="B10" s="9" t="s">
        <v>641</v>
      </c>
      <c r="C10" s="20">
        <v>0</v>
      </c>
      <c r="F10" s="101" t="s">
        <v>596</v>
      </c>
      <c r="G10" s="9" t="s">
        <v>597</v>
      </c>
      <c r="H10" s="20">
        <v>0.1</v>
      </c>
    </row>
    <row r="11" spans="2:16" x14ac:dyDescent="0.55000000000000004">
      <c r="B11" s="9" t="s">
        <v>442</v>
      </c>
      <c r="C11" s="79">
        <v>0</v>
      </c>
      <c r="K11" s="149" t="s">
        <v>405</v>
      </c>
      <c r="L11" s="149"/>
    </row>
    <row r="12" spans="2:16" x14ac:dyDescent="0.55000000000000004">
      <c r="E12" t="s">
        <v>358</v>
      </c>
      <c r="K12" s="19" t="s">
        <v>404</v>
      </c>
      <c r="L12" s="13">
        <v>300</v>
      </c>
      <c r="O12" s="29"/>
    </row>
    <row r="13" spans="2:16" x14ac:dyDescent="0.55000000000000004">
      <c r="B13" s="140" t="s">
        <v>589</v>
      </c>
      <c r="C13" s="140"/>
      <c r="H13" t="s">
        <v>477</v>
      </c>
      <c r="K13" s="19" t="s">
        <v>367</v>
      </c>
      <c r="L13" s="14">
        <v>0.1</v>
      </c>
      <c r="O13" s="29"/>
    </row>
    <row r="14" spans="2:16" x14ac:dyDescent="0.55000000000000004">
      <c r="G14" s="1" t="s">
        <v>368</v>
      </c>
      <c r="K14" s="19" t="s">
        <v>376</v>
      </c>
      <c r="L14" s="13">
        <v>75</v>
      </c>
    </row>
    <row r="15" spans="2:16" x14ac:dyDescent="0.55000000000000004">
      <c r="B15" s="19" t="s">
        <v>588</v>
      </c>
      <c r="C15" s="19" t="s">
        <v>234</v>
      </c>
      <c r="G15" s="60" t="s">
        <v>369</v>
      </c>
      <c r="K15" s="19" t="s">
        <v>398</v>
      </c>
      <c r="L15" s="32" cm="1">
        <f t="array" ref="L15">(L12/1000/60*rho_BL(L14,L13))*L13*3.6*24</f>
        <v>44.925059970000007</v>
      </c>
      <c r="P15" s="29"/>
    </row>
    <row r="16" spans="2:16" x14ac:dyDescent="0.55000000000000004">
      <c r="B16" s="9" t="s">
        <v>644</v>
      </c>
      <c r="C16" s="52">
        <v>33.268740000000001</v>
      </c>
      <c r="G16" t="s">
        <v>372</v>
      </c>
    </row>
    <row r="17" spans="2:18" x14ac:dyDescent="0.55000000000000004">
      <c r="B17" s="9" t="s">
        <v>645</v>
      </c>
      <c r="C17" s="52">
        <v>35.487442000000001</v>
      </c>
      <c r="G17" s="3" t="s">
        <v>428</v>
      </c>
      <c r="K17" s="140" t="s">
        <v>583</v>
      </c>
      <c r="L17" s="140"/>
      <c r="M17" s="140"/>
      <c r="N17" s="140"/>
    </row>
    <row r="18" spans="2:18" x14ac:dyDescent="0.55000000000000004">
      <c r="B18" s="9" t="s">
        <v>647</v>
      </c>
      <c r="C18" s="52">
        <v>114.621346</v>
      </c>
      <c r="G18" s="65" t="s">
        <v>381</v>
      </c>
    </row>
    <row r="19" spans="2:18" x14ac:dyDescent="0.55000000000000004">
      <c r="B19" s="9" t="s">
        <v>646</v>
      </c>
      <c r="C19" s="52">
        <v>115.117645</v>
      </c>
      <c r="K19" s="149" t="s">
        <v>402</v>
      </c>
      <c r="L19" s="149"/>
      <c r="M19" s="149"/>
      <c r="N19" s="149"/>
      <c r="R19" t="s">
        <v>614</v>
      </c>
    </row>
    <row r="20" spans="2:18" x14ac:dyDescent="0.55000000000000004">
      <c r="B20" s="9" t="s">
        <v>648</v>
      </c>
      <c r="C20" s="107">
        <v>5244.9949999999999</v>
      </c>
      <c r="K20" s="9"/>
      <c r="L20" s="19" t="s">
        <v>406</v>
      </c>
      <c r="M20" s="19" t="s">
        <v>650</v>
      </c>
      <c r="N20" s="19" t="s">
        <v>409</v>
      </c>
      <c r="R20" t="s">
        <v>615</v>
      </c>
    </row>
    <row r="21" spans="2:18" x14ac:dyDescent="0.55000000000000004">
      <c r="B21" s="9" t="s">
        <v>449</v>
      </c>
      <c r="C21" s="107">
        <v>17.861968999999998</v>
      </c>
      <c r="K21" s="19" t="s">
        <v>407</v>
      </c>
      <c r="L21" s="12" cm="1">
        <f t="array" ref="L21">(L12/1000/60*rho_BL(L14,L13))*3.6</f>
        <v>18.718774987500002</v>
      </c>
      <c r="M21" s="22" cm="1">
        <f t="array" ref="M21">(_xlfn.XLOOKUP($C$4, $K$4:$O$4, K5:O5)/1000/60*rho_BL(_xlfn.XLOOKUP($C$4, $K$4:$O$4, K7:O7),M22))*3.6</f>
        <v>423.02356288861313</v>
      </c>
      <c r="N21" s="22">
        <f>M21+L21</f>
        <v>441.74233787611314</v>
      </c>
      <c r="R21" t="s">
        <v>616</v>
      </c>
    </row>
    <row r="22" spans="2:18" x14ac:dyDescent="0.55000000000000004">
      <c r="K22" s="19" t="s">
        <v>367</v>
      </c>
      <c r="L22" s="110">
        <f>L13</f>
        <v>0.1</v>
      </c>
      <c r="M22" s="110">
        <f>_xlfn.XLOOKUP($C$4, $K$4:$O$4, K6:O6)</f>
        <v>0.16300000000000001</v>
      </c>
      <c r="N22" s="111">
        <f>N23/N21</f>
        <v>0.16033038306927413</v>
      </c>
    </row>
    <row r="23" spans="2:18" x14ac:dyDescent="0.55000000000000004">
      <c r="B23" s="140" t="s">
        <v>590</v>
      </c>
      <c r="C23" s="140"/>
      <c r="K23" s="19" t="s">
        <v>408</v>
      </c>
      <c r="L23" s="12">
        <f>L21*L22</f>
        <v>1.8718774987500002</v>
      </c>
      <c r="M23" s="12">
        <f>M21*M22</f>
        <v>68.952840750843947</v>
      </c>
      <c r="N23" s="22">
        <f>M23+L23</f>
        <v>70.824718249593943</v>
      </c>
    </row>
    <row r="25" spans="2:18" x14ac:dyDescent="0.55000000000000004">
      <c r="B25" s="31" t="s">
        <v>353</v>
      </c>
      <c r="K25" s="149" t="s">
        <v>366</v>
      </c>
      <c r="L25" s="149"/>
    </row>
    <row r="26" spans="2:18" x14ac:dyDescent="0.55000000000000004">
      <c r="B26" t="s">
        <v>371</v>
      </c>
      <c r="C26" s="63">
        <v>0.48499999999999999</v>
      </c>
      <c r="K26" s="19" t="s">
        <v>413</v>
      </c>
      <c r="L26" s="32" cm="1">
        <f t="array" ref="L26">(N21/3.6)/rho_BL(L7,N22)*1000*60</f>
        <v>6866.2885564706285</v>
      </c>
    </row>
    <row r="27" spans="2:18" x14ac:dyDescent="0.55000000000000004">
      <c r="B27" t="s">
        <v>377</v>
      </c>
      <c r="C27" s="3">
        <v>130</v>
      </c>
      <c r="K27" s="19" t="s">
        <v>414</v>
      </c>
      <c r="L27" s="12">
        <f>L26-C6</f>
        <v>2766.2885564706285</v>
      </c>
    </row>
    <row r="28" spans="2:18" x14ac:dyDescent="0.55000000000000004">
      <c r="B28" t="s">
        <v>391</v>
      </c>
      <c r="C28" s="3">
        <v>-85</v>
      </c>
      <c r="K28" s="19" t="s">
        <v>418</v>
      </c>
      <c r="L28" s="12" cm="1">
        <f t="array" ref="L28">(L26/1000/60*rho_BL(_xlfn.XLOOKUP($C$4, $K$4:$O$4, K7:O7),N22))*N22*3.6*24</f>
        <v>1699.7932379902545</v>
      </c>
    </row>
    <row r="29" spans="2:18" x14ac:dyDescent="0.55000000000000004">
      <c r="B29" t="s">
        <v>374</v>
      </c>
      <c r="C29" s="16" cm="1">
        <f t="array" ref="C29">(C6/1000/60*rho_BL(_xlfn.XLOOKUP($C$4, $K$4:$O$4, K7:O7),_xlfn.XLOOKUP($C$4, $K$4:$O$4, K6:O6))*_xlfn.XLOOKUP($C$4, $K$4:$O$4, K6:O6)/C26)/(rho_BL(C27,C26))*1000*60</f>
        <v>1194.522799882106</v>
      </c>
      <c r="E29" s="16"/>
    </row>
    <row r="30" spans="2:18" x14ac:dyDescent="0.55000000000000004">
      <c r="B30" t="s">
        <v>416</v>
      </c>
      <c r="C30" s="16" cm="1">
        <f t="array" ref="C30">(C29/1000/60*rho_BL(C27,C26))*C26*3.6*24</f>
        <v>1033.5048788854597</v>
      </c>
      <c r="O30" s="29"/>
    </row>
    <row r="32" spans="2:18" x14ac:dyDescent="0.55000000000000004">
      <c r="B32" s="31" t="s">
        <v>354</v>
      </c>
      <c r="K32" s="149" t="s">
        <v>410</v>
      </c>
      <c r="L32" s="149"/>
      <c r="M32" s="149"/>
      <c r="N32" s="149"/>
      <c r="O32" s="75"/>
    </row>
    <row r="33" spans="2:15" x14ac:dyDescent="0.55000000000000004">
      <c r="B33" t="s">
        <v>426</v>
      </c>
      <c r="C33" s="63">
        <v>0.185</v>
      </c>
      <c r="E33" s="29"/>
      <c r="K33" s="9"/>
      <c r="L33" s="19" t="s">
        <v>411</v>
      </c>
      <c r="M33" s="19" t="s">
        <v>421</v>
      </c>
      <c r="N33" s="19" t="s">
        <v>409</v>
      </c>
      <c r="O33" s="4"/>
    </row>
    <row r="34" spans="2:15" x14ac:dyDescent="0.55000000000000004">
      <c r="B34" t="s">
        <v>373</v>
      </c>
      <c r="C34" s="63">
        <v>0.69</v>
      </c>
      <c r="K34" s="19" t="s">
        <v>407</v>
      </c>
      <c r="L34" s="12" cm="1">
        <f t="array" ref="L34">(L27/1000/60*rho_BL(L7,L35))*3.6</f>
        <v>177.9690387500103</v>
      </c>
      <c r="M34" s="12">
        <f>L34*(L35-C33)/(C33-M35)</f>
        <v>8.6939168544401237</v>
      </c>
      <c r="N34" s="12">
        <f>M34+L34</f>
        <v>186.66295560445042</v>
      </c>
    </row>
    <row r="35" spans="2:15" x14ac:dyDescent="0.55000000000000004">
      <c r="B35" t="s">
        <v>370</v>
      </c>
      <c r="C35" s="16" cm="1">
        <f t="array" ref="C35">(N34/3.6)/rho_BL(_xlfn.XLOOKUP($C$4, $K$4:$O$4, K7:O7),C33)*1000*60</f>
        <v>2859.8384640875975</v>
      </c>
      <c r="K35" s="19" t="s">
        <v>367</v>
      </c>
      <c r="L35" s="110">
        <f>N22</f>
        <v>0.16033038306927413</v>
      </c>
      <c r="M35" s="110">
        <f>C34</f>
        <v>0.69</v>
      </c>
      <c r="N35" s="110">
        <f>C33</f>
        <v>0.185</v>
      </c>
    </row>
    <row r="36" spans="2:15" x14ac:dyDescent="0.55000000000000004">
      <c r="B36" t="s">
        <v>417</v>
      </c>
      <c r="C36" s="16" cm="1">
        <f t="array" ref="C36">(M34/3.6)/rho_BL(_xlfn.XLOOKUP($C$4, $K$4:$O$4, K7:O7),M35)*1000*60</f>
        <v>102.98324044568437</v>
      </c>
      <c r="K36" s="19" t="s">
        <v>408</v>
      </c>
      <c r="L36" s="12">
        <f>L34*L35</f>
        <v>28.533844157259644</v>
      </c>
      <c r="M36" s="12">
        <f>M34*M35</f>
        <v>5.9988026295636852</v>
      </c>
      <c r="N36" s="12">
        <f>N34*C33</f>
        <v>34.532646786823328</v>
      </c>
    </row>
    <row r="37" spans="2:15" x14ac:dyDescent="0.55000000000000004">
      <c r="B37" t="s">
        <v>377</v>
      </c>
      <c r="C37" s="3">
        <v>130</v>
      </c>
    </row>
    <row r="38" spans="2:15" x14ac:dyDescent="0.55000000000000004">
      <c r="B38" t="s">
        <v>391</v>
      </c>
      <c r="C38" s="3">
        <v>-75</v>
      </c>
    </row>
    <row r="39" spans="2:15" x14ac:dyDescent="0.55000000000000004">
      <c r="B39" t="s">
        <v>393</v>
      </c>
      <c r="C39" s="3">
        <v>0</v>
      </c>
      <c r="K39" s="149" t="s">
        <v>584</v>
      </c>
      <c r="L39" s="149"/>
      <c r="M39" s="149"/>
    </row>
    <row r="40" spans="2:15" x14ac:dyDescent="0.55000000000000004">
      <c r="B40" t="s">
        <v>394</v>
      </c>
      <c r="C40" s="3">
        <v>0</v>
      </c>
      <c r="G40" s="16"/>
      <c r="K40" s="9"/>
      <c r="L40" s="19" t="s">
        <v>353</v>
      </c>
      <c r="M40" s="19" t="s">
        <v>354</v>
      </c>
    </row>
    <row r="41" spans="2:15" x14ac:dyDescent="0.55000000000000004">
      <c r="B41" t="s">
        <v>375</v>
      </c>
      <c r="C41" s="16" cm="1">
        <f t="array" ref="C41">(C35/1000/60*rho_BL(_xlfn.XLOOKUP($C$4, $K$4:$O$4, K7:O7),C33)*C33/C34)/(rho_BL(C37,C34))*1000*60-C36</f>
        <v>508.32601143090619</v>
      </c>
      <c r="D41" t="s">
        <v>433</v>
      </c>
      <c r="G41" s="16"/>
      <c r="K41" s="19" t="s">
        <v>585</v>
      </c>
      <c r="L41" s="12" cm="1">
        <f t="array" ref="L41">C6/1000/60*rho_BL(_xlfn.XLOOKUP($C$4, $K$4:$O$4, K7:O7),_xlfn.XLOOKUP($C$4, $K$4:$O$4, K6:O6))*3.6</f>
        <v>264.18836372327701</v>
      </c>
      <c r="M41" s="12">
        <f>N34</f>
        <v>186.66295560445042</v>
      </c>
    </row>
    <row r="42" spans="2:15" x14ac:dyDescent="0.55000000000000004">
      <c r="B42" t="s">
        <v>415</v>
      </c>
      <c r="C42" s="16" cm="1">
        <f t="array" ref="C42">(C41/1000/60*rho_BL(C37,C34))*C34*3.6*24</f>
        <v>689.16382540241034</v>
      </c>
      <c r="D42" t="s">
        <v>419</v>
      </c>
      <c r="K42" s="19" t="s">
        <v>586</v>
      </c>
      <c r="L42" s="12" cm="1">
        <f t="array" ref="L42">C29/1000/60*rho_BL(C27,C26)*3.6</f>
        <v>88.789078942049798</v>
      </c>
      <c r="M42" s="12" cm="1">
        <f t="array" ref="M42">(C41+C36)/1000/60*rho_BL(C37,C34)*3.6</f>
        <v>50.04731418380193</v>
      </c>
    </row>
    <row r="43" spans="2:15" x14ac:dyDescent="0.55000000000000004">
      <c r="K43" s="19" t="s">
        <v>587</v>
      </c>
      <c r="L43" s="12">
        <f>L41-L42</f>
        <v>175.39928478122721</v>
      </c>
      <c r="M43" s="12">
        <f>M41-M42</f>
        <v>136.6156414206485</v>
      </c>
    </row>
    <row r="44" spans="2:15" x14ac:dyDescent="0.55000000000000004">
      <c r="B44" s="31" t="s">
        <v>42</v>
      </c>
    </row>
    <row r="45" spans="2:15" x14ac:dyDescent="0.55000000000000004">
      <c r="B45" t="s">
        <v>378</v>
      </c>
      <c r="C45" s="64">
        <v>0.69</v>
      </c>
      <c r="D45" t="s">
        <v>379</v>
      </c>
    </row>
    <row r="46" spans="2:15" x14ac:dyDescent="0.55000000000000004">
      <c r="B46" t="s">
        <v>423</v>
      </c>
      <c r="C46" s="29">
        <f>IF(C30=0,0,C29*(L28*C5/C30))</f>
        <v>982.30875313062643</v>
      </c>
      <c r="F46" s="16"/>
      <c r="G46" s="16"/>
    </row>
    <row r="47" spans="2:15" x14ac:dyDescent="0.55000000000000004">
      <c r="B47" t="s">
        <v>424</v>
      </c>
      <c r="C47" s="29">
        <f>L28*C5</f>
        <v>849.89661899512726</v>
      </c>
    </row>
    <row r="48" spans="2:15" x14ac:dyDescent="0.55000000000000004">
      <c r="B48" t="s">
        <v>425</v>
      </c>
      <c r="C48" s="16" cm="1">
        <f t="array" ref="C48">(((C46/1000/60*rho_BL(C27,C26)*3.6)*C26/C45)/3.6)/rho_BL(C27,C45)*1000*60</f>
        <v>626.88223400312904</v>
      </c>
    </row>
    <row r="50" spans="2:14" x14ac:dyDescent="0.55000000000000004">
      <c r="B50" s="31" t="s">
        <v>18</v>
      </c>
      <c r="K50" s="149" t="s">
        <v>420</v>
      </c>
      <c r="L50" s="149"/>
      <c r="M50" s="149"/>
      <c r="N50" s="149"/>
    </row>
    <row r="51" spans="2:14" x14ac:dyDescent="0.55000000000000004">
      <c r="B51" t="s">
        <v>378</v>
      </c>
      <c r="C51" s="72">
        <f>N53</f>
        <v>0.63365488410916682</v>
      </c>
      <c r="K51" s="9"/>
      <c r="L51" s="19" t="s">
        <v>421</v>
      </c>
      <c r="M51" s="19" t="s">
        <v>412</v>
      </c>
      <c r="N51" s="19" t="s">
        <v>409</v>
      </c>
    </row>
    <row r="52" spans="2:14" x14ac:dyDescent="0.55000000000000004">
      <c r="B52" t="s">
        <v>422</v>
      </c>
      <c r="C52" s="16" cm="1">
        <f t="array" ref="C52">(N52/3.6)/rho_BL(C37,N53)*1000*60</f>
        <v>719.20128030673345</v>
      </c>
      <c r="K52" s="19" t="s">
        <v>407</v>
      </c>
      <c r="L52" s="12" cm="1">
        <f t="array" ref="L52">(C41/1000/60*rho_BL(C37,L53))*3.6</f>
        <v>41.616173031546531</v>
      </c>
      <c r="M52" s="12" cm="1">
        <f t="array" ref="M52">((C29-C46)/1000/60*rho_BL(C27,M53))*3.6</f>
        <v>15.773905488860168</v>
      </c>
      <c r="N52" s="12">
        <f>M52+L52</f>
        <v>57.390078520406696</v>
      </c>
    </row>
    <row r="53" spans="2:14" x14ac:dyDescent="0.55000000000000004">
      <c r="B53" t="s">
        <v>380</v>
      </c>
      <c r="C53" s="16" cm="1">
        <f t="array" ref="C53">(C52/1000/60*rho_BL(C37,C51))*C51*3.6*24</f>
        <v>872.77208529274287</v>
      </c>
      <c r="K53" s="19" t="s">
        <v>367</v>
      </c>
      <c r="L53" s="110">
        <f>C34</f>
        <v>0.69</v>
      </c>
      <c r="M53" s="110">
        <f>C26</f>
        <v>0.48499999999999999</v>
      </c>
      <c r="N53" s="110">
        <f>N54/N52</f>
        <v>0.63365488410916682</v>
      </c>
    </row>
    <row r="54" spans="2:14" x14ac:dyDescent="0.55000000000000004">
      <c r="K54" s="19" t="s">
        <v>408</v>
      </c>
      <c r="L54" s="12">
        <f>L52*L53</f>
        <v>28.715159391767102</v>
      </c>
      <c r="M54" s="12">
        <f>M52*M53</f>
        <v>7.6503441620971806</v>
      </c>
      <c r="N54" s="12">
        <f>M54+L54</f>
        <v>36.365503553864286</v>
      </c>
    </row>
    <row r="55" spans="2:14" x14ac:dyDescent="0.55000000000000004">
      <c r="B55" s="140" t="s">
        <v>432</v>
      </c>
      <c r="C55" s="140"/>
    </row>
    <row r="57" spans="2:14" x14ac:dyDescent="0.55000000000000004">
      <c r="B57" s="31" t="s">
        <v>591</v>
      </c>
      <c r="C57" s="31" t="s">
        <v>234</v>
      </c>
    </row>
    <row r="58" spans="2:14" x14ac:dyDescent="0.55000000000000004">
      <c r="B58" t="s">
        <v>392</v>
      </c>
      <c r="C58" s="3">
        <v>15</v>
      </c>
    </row>
    <row r="59" spans="2:14" x14ac:dyDescent="0.55000000000000004">
      <c r="B59" t="s">
        <v>396</v>
      </c>
      <c r="C59" s="67" t="s">
        <v>397</v>
      </c>
      <c r="E59" s="97"/>
    </row>
    <row r="60" spans="2:14" x14ac:dyDescent="0.55000000000000004">
      <c r="B60" t="s">
        <v>429</v>
      </c>
      <c r="C60" s="3">
        <v>15</v>
      </c>
    </row>
    <row r="61" spans="2:14" x14ac:dyDescent="0.55000000000000004">
      <c r="B61" t="s">
        <v>395</v>
      </c>
      <c r="C61" s="3">
        <v>1.1000000000000001</v>
      </c>
    </row>
    <row r="62" spans="2:14" x14ac:dyDescent="0.55000000000000004">
      <c r="B62" t="s">
        <v>443</v>
      </c>
      <c r="C62" s="3">
        <v>25</v>
      </c>
      <c r="N62" s="97"/>
    </row>
    <row r="63" spans="2:14" x14ac:dyDescent="0.55000000000000004">
      <c r="B63" t="s">
        <v>435</v>
      </c>
      <c r="C63" s="3">
        <v>0</v>
      </c>
    </row>
    <row r="64" spans="2:14" x14ac:dyDescent="0.55000000000000004">
      <c r="B64" t="s">
        <v>434</v>
      </c>
      <c r="C64" s="3">
        <v>0</v>
      </c>
    </row>
    <row r="65" spans="2:3" x14ac:dyDescent="0.55000000000000004">
      <c r="B65" t="s">
        <v>436</v>
      </c>
      <c r="C65" s="3">
        <v>0</v>
      </c>
    </row>
    <row r="66" spans="2:3" x14ac:dyDescent="0.55000000000000004">
      <c r="B66" t="s">
        <v>437</v>
      </c>
      <c r="C66" s="3">
        <v>0</v>
      </c>
    </row>
    <row r="67" spans="2:3" x14ac:dyDescent="0.55000000000000004">
      <c r="B67" t="s">
        <v>439</v>
      </c>
      <c r="C67" s="3">
        <v>0</v>
      </c>
    </row>
    <row r="68" spans="2:3" x14ac:dyDescent="0.55000000000000004">
      <c r="B68" t="s">
        <v>440</v>
      </c>
      <c r="C68" s="3">
        <v>0</v>
      </c>
    </row>
    <row r="69" spans="2:3" x14ac:dyDescent="0.55000000000000004">
      <c r="B69" t="s">
        <v>438</v>
      </c>
      <c r="C69" s="3">
        <v>0</v>
      </c>
    </row>
    <row r="70" spans="2:3" x14ac:dyDescent="0.55000000000000004">
      <c r="B70" t="s">
        <v>441</v>
      </c>
      <c r="C70" s="80">
        <v>0.6</v>
      </c>
    </row>
    <row r="71" spans="2:3" x14ac:dyDescent="0.55000000000000004">
      <c r="B71" s="76" t="s">
        <v>523</v>
      </c>
      <c r="C71" s="3">
        <v>1</v>
      </c>
    </row>
    <row r="72" spans="2:3" x14ac:dyDescent="0.55000000000000004">
      <c r="B72" s="76" t="s">
        <v>524</v>
      </c>
      <c r="C72" s="3">
        <v>1</v>
      </c>
    </row>
    <row r="73" spans="2:3" x14ac:dyDescent="0.55000000000000004">
      <c r="B73" s="76" t="s">
        <v>525</v>
      </c>
      <c r="C73" s="3">
        <v>0</v>
      </c>
    </row>
    <row r="74" spans="2:3" x14ac:dyDescent="0.55000000000000004">
      <c r="B74" s="76" t="s">
        <v>526</v>
      </c>
      <c r="C74" s="3">
        <v>0</v>
      </c>
    </row>
    <row r="75" spans="2:3" x14ac:dyDescent="0.55000000000000004">
      <c r="B75" s="76" t="s">
        <v>527</v>
      </c>
      <c r="C75" s="3">
        <v>0</v>
      </c>
    </row>
  </sheetData>
  <mergeCells count="16">
    <mergeCell ref="B23:C23"/>
    <mergeCell ref="B55:C55"/>
    <mergeCell ref="F4:F5"/>
    <mergeCell ref="F6:F7"/>
    <mergeCell ref="F1:H1"/>
    <mergeCell ref="B1:C1"/>
    <mergeCell ref="K19:N19"/>
    <mergeCell ref="K25:L25"/>
    <mergeCell ref="K32:N32"/>
    <mergeCell ref="K39:M39"/>
    <mergeCell ref="K50:N50"/>
    <mergeCell ref="K3:N3"/>
    <mergeCell ref="K11:L11"/>
    <mergeCell ref="K1:N1"/>
    <mergeCell ref="K17:N17"/>
    <mergeCell ref="B13:C1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780C1-E86D-4B6E-92BE-E342D359D058}">
  <dimension ref="B2:P106"/>
  <sheetViews>
    <sheetView showGridLines="0" zoomScale="80" zoomScaleNormal="80" workbookViewId="0">
      <selection activeCell="K11" sqref="K11"/>
    </sheetView>
  </sheetViews>
  <sheetFormatPr defaultRowHeight="14.4" x14ac:dyDescent="0.55000000000000004"/>
  <cols>
    <col min="2" max="2" width="34.68359375" bestFit="1" customWidth="1"/>
    <col min="3" max="3" width="15.41796875" bestFit="1" customWidth="1"/>
    <col min="4" max="4" width="9.68359375" bestFit="1" customWidth="1"/>
    <col min="5" max="5" width="32.41796875" bestFit="1" customWidth="1"/>
    <col min="6" max="6" width="14.26171875" bestFit="1" customWidth="1"/>
    <col min="8" max="8" width="32.83984375" bestFit="1" customWidth="1"/>
    <col min="9" max="9" width="14.26171875" bestFit="1" customWidth="1"/>
    <col min="10" max="10" width="13.83984375" bestFit="1" customWidth="1"/>
    <col min="11" max="11" width="34.68359375" bestFit="1" customWidth="1"/>
    <col min="12" max="12" width="14.26171875" bestFit="1" customWidth="1"/>
  </cols>
  <sheetData>
    <row r="2" spans="2:16" x14ac:dyDescent="0.55000000000000004">
      <c r="P2" t="s">
        <v>427</v>
      </c>
    </row>
    <row r="3" spans="2:16" x14ac:dyDescent="0.55000000000000004">
      <c r="B3" s="136" t="s">
        <v>674</v>
      </c>
      <c r="C3" s="135" t="s">
        <v>568</v>
      </c>
      <c r="E3" s="137" t="s">
        <v>672</v>
      </c>
      <c r="F3" s="135" t="s">
        <v>568</v>
      </c>
    </row>
    <row r="4" spans="2:16" x14ac:dyDescent="0.55000000000000004">
      <c r="B4" s="9" t="s">
        <v>707</v>
      </c>
      <c r="C4" s="9">
        <f>'Scenario Setup'!C70*100</f>
        <v>60</v>
      </c>
      <c r="E4" s="9" t="s">
        <v>698</v>
      </c>
      <c r="F4" s="32">
        <f>'Scenario Setup'!C48</f>
        <v>626.88223400312904</v>
      </c>
    </row>
    <row r="5" spans="2:16" x14ac:dyDescent="0.55000000000000004">
      <c r="B5" s="9" t="s">
        <v>666</v>
      </c>
      <c r="C5" s="9">
        <f>'Scenario Setup'!C58</f>
        <v>15</v>
      </c>
      <c r="E5" s="9" t="s">
        <v>699</v>
      </c>
      <c r="F5" s="12">
        <f>'Scenario Setup'!C45*100</f>
        <v>69</v>
      </c>
    </row>
    <row r="6" spans="2:16" x14ac:dyDescent="0.55000000000000004">
      <c r="B6" s="9" t="s">
        <v>708</v>
      </c>
      <c r="C6" s="9">
        <f>'Scenario Setup'!C61</f>
        <v>1.1000000000000001</v>
      </c>
      <c r="E6" s="9" t="s">
        <v>666</v>
      </c>
      <c r="F6" s="9">
        <f>'Scenario Setup'!C58</f>
        <v>15</v>
      </c>
    </row>
    <row r="7" spans="2:16" x14ac:dyDescent="0.55000000000000004">
      <c r="B7" s="9" t="s">
        <v>676</v>
      </c>
      <c r="C7" s="9">
        <f>IF('Scenario Setup'!C11=0,1.9,'Scenario Setup'!C11)</f>
        <v>1.9</v>
      </c>
      <c r="E7" s="9" t="s">
        <v>700</v>
      </c>
      <c r="F7" s="9">
        <f>'Scenario Setup'!C63</f>
        <v>0</v>
      </c>
    </row>
    <row r="8" spans="2:16" x14ac:dyDescent="0.55000000000000004">
      <c r="B8" s="9" t="s">
        <v>709</v>
      </c>
      <c r="C8" s="12">
        <f ca="1">Flowsheet!I79</f>
        <v>45.834892667231159</v>
      </c>
      <c r="E8" s="9" t="s">
        <v>679</v>
      </c>
      <c r="F8" s="12">
        <f ca="1">Flowsheet!AA165+Flowsheet!AA166+Flowsheet!AA167+Flowsheet!AA169+Flowsheet!AA170</f>
        <v>119.31802104573723</v>
      </c>
    </row>
    <row r="9" spans="2:16" x14ac:dyDescent="0.55000000000000004">
      <c r="B9" s="9" t="s">
        <v>710</v>
      </c>
      <c r="C9" s="9">
        <f>'Scenario Setup'!C68</f>
        <v>0</v>
      </c>
      <c r="E9" s="9" t="s">
        <v>680</v>
      </c>
      <c r="F9" s="12">
        <f>'Scenario Setup'!C65</f>
        <v>0</v>
      </c>
    </row>
    <row r="10" spans="2:16" x14ac:dyDescent="0.55000000000000004">
      <c r="B10" s="9" t="s">
        <v>660</v>
      </c>
      <c r="C10" s="131" t="str">
        <f>C60</f>
        <v>A</v>
      </c>
      <c r="E10" s="9" t="s">
        <v>681</v>
      </c>
      <c r="F10" s="12">
        <f>Flowsheet!AA130</f>
        <v>33.85</v>
      </c>
    </row>
    <row r="11" spans="2:16" x14ac:dyDescent="0.55000000000000004">
      <c r="B11" s="9" t="s">
        <v>679</v>
      </c>
      <c r="C11" s="12">
        <f t="shared" ref="C11:C20" ca="1" si="0">C39</f>
        <v>119.31802104573723</v>
      </c>
      <c r="E11" s="9" t="s">
        <v>682</v>
      </c>
      <c r="F11" s="12">
        <f>'Scenario Setup'!C66</f>
        <v>0</v>
      </c>
    </row>
    <row r="12" spans="2:16" x14ac:dyDescent="0.55000000000000004">
      <c r="B12" s="9" t="s">
        <v>680</v>
      </c>
      <c r="C12" s="12">
        <f t="shared" si="0"/>
        <v>0</v>
      </c>
      <c r="E12" s="9" t="s">
        <v>683</v>
      </c>
      <c r="F12" s="12">
        <f>Flowsheet!AA128+Flowsheet!AA160</f>
        <v>56.04</v>
      </c>
    </row>
    <row r="13" spans="2:16" x14ac:dyDescent="0.55000000000000004">
      <c r="B13" s="9" t="s">
        <v>681</v>
      </c>
      <c r="C13" s="12">
        <f t="shared" si="0"/>
        <v>33.85</v>
      </c>
      <c r="E13" s="9" t="s">
        <v>684</v>
      </c>
      <c r="F13" s="12">
        <f>Flowsheet!AA161+Flowsheet!AA129</f>
        <v>16.41</v>
      </c>
    </row>
    <row r="14" spans="2:16" x14ac:dyDescent="0.55000000000000004">
      <c r="B14" s="9" t="s">
        <v>682</v>
      </c>
      <c r="C14" s="12">
        <f t="shared" si="0"/>
        <v>0</v>
      </c>
      <c r="E14" s="9" t="s">
        <v>685</v>
      </c>
      <c r="F14" s="12">
        <f>'Scenario Setup'!C67</f>
        <v>0</v>
      </c>
    </row>
    <row r="15" spans="2:16" x14ac:dyDescent="0.55000000000000004">
      <c r="B15" s="9" t="s">
        <v>683</v>
      </c>
      <c r="C15" s="12">
        <f t="shared" si="0"/>
        <v>56.04</v>
      </c>
      <c r="E15" s="9" t="s">
        <v>686</v>
      </c>
      <c r="F15" s="12">
        <f>Flowsheet!AA164</f>
        <v>6.8900000000000006</v>
      </c>
    </row>
    <row r="16" spans="2:16" x14ac:dyDescent="0.55000000000000004">
      <c r="B16" s="9" t="s">
        <v>684</v>
      </c>
      <c r="C16" s="12">
        <f t="shared" si="0"/>
        <v>16.41</v>
      </c>
      <c r="E16" s="9" t="s">
        <v>687</v>
      </c>
      <c r="F16" s="12">
        <f>Flowsheet!AA163</f>
        <v>2.4635750000000001</v>
      </c>
    </row>
    <row r="17" spans="2:10" x14ac:dyDescent="0.55000000000000004">
      <c r="B17" s="9" t="s">
        <v>685</v>
      </c>
      <c r="C17" s="12">
        <f t="shared" si="0"/>
        <v>0</v>
      </c>
      <c r="E17" s="9" t="s">
        <v>688</v>
      </c>
      <c r="F17" s="12">
        <f ca="1">SUM(F8:F16)</f>
        <v>234.97159604573721</v>
      </c>
    </row>
    <row r="18" spans="2:10" x14ac:dyDescent="0.55000000000000004">
      <c r="B18" s="9" t="s">
        <v>686</v>
      </c>
      <c r="C18" s="12">
        <f t="shared" si="0"/>
        <v>6.8900000000000006</v>
      </c>
    </row>
    <row r="19" spans="2:10" x14ac:dyDescent="0.55000000000000004">
      <c r="B19" s="9" t="s">
        <v>704</v>
      </c>
      <c r="C19" s="12">
        <f t="shared" si="0"/>
        <v>2.4635750000000001</v>
      </c>
      <c r="E19" s="135" t="s">
        <v>668</v>
      </c>
      <c r="F19" s="135" t="s">
        <v>568</v>
      </c>
    </row>
    <row r="20" spans="2:10" x14ac:dyDescent="0.55000000000000004">
      <c r="B20" s="9" t="s">
        <v>688</v>
      </c>
      <c r="C20" s="12">
        <f t="shared" ca="1" si="0"/>
        <v>234.97159604573721</v>
      </c>
      <c r="E20" s="9" t="s">
        <v>652</v>
      </c>
      <c r="F20" s="129">
        <f>'Scenario Setup'!C26*100</f>
        <v>48.5</v>
      </c>
    </row>
    <row r="21" spans="2:10" x14ac:dyDescent="0.55000000000000004">
      <c r="B21" s="9" t="s">
        <v>711</v>
      </c>
      <c r="C21" s="12">
        <f>'Scenario Setup'!C71</f>
        <v>1</v>
      </c>
      <c r="E21" s="9" t="s">
        <v>653</v>
      </c>
      <c r="F21" s="9">
        <f>'Scenario Setup'!C6</f>
        <v>4100</v>
      </c>
    </row>
    <row r="22" spans="2:10" x14ac:dyDescent="0.55000000000000004">
      <c r="B22" s="9" t="s">
        <v>712</v>
      </c>
      <c r="C22" s="12">
        <f>'Scenario Setup'!C72</f>
        <v>1</v>
      </c>
      <c r="E22" s="9" t="s">
        <v>654</v>
      </c>
      <c r="F22" s="9">
        <f>_xlfn.XLOOKUP('Scenario Setup'!C4, 'Scenario Setup'!$L$4:$N$4,'Scenario Setup'!L7:N7)</f>
        <v>85</v>
      </c>
    </row>
    <row r="23" spans="2:10" x14ac:dyDescent="0.55000000000000004">
      <c r="B23" s="9" t="s">
        <v>713</v>
      </c>
      <c r="C23" s="12">
        <f>'Scenario Setup'!C73</f>
        <v>0</v>
      </c>
      <c r="E23" s="9" t="s">
        <v>655</v>
      </c>
      <c r="F23" s="130">
        <f>'Scenario Setup'!N22*100</f>
        <v>16.033038306927413</v>
      </c>
      <c r="I23">
        <f>189/128</f>
        <v>1.4765625</v>
      </c>
    </row>
    <row r="24" spans="2:10" x14ac:dyDescent="0.55000000000000004">
      <c r="B24" s="9" t="s">
        <v>714</v>
      </c>
      <c r="C24" s="12">
        <f>'Scenario Setup'!C74</f>
        <v>0</v>
      </c>
      <c r="E24" s="9" t="s">
        <v>656</v>
      </c>
      <c r="F24" s="9">
        <f>'Scenario Setup'!C60</f>
        <v>15</v>
      </c>
    </row>
    <row r="25" spans="2:10" x14ac:dyDescent="0.55000000000000004">
      <c r="B25" s="9" t="s">
        <v>715</v>
      </c>
      <c r="C25" s="12">
        <f>'Scenario Setup'!C75</f>
        <v>0</v>
      </c>
      <c r="E25" s="9" t="s">
        <v>657</v>
      </c>
      <c r="F25" s="9">
        <f>'Scenario Setup'!C4</f>
        <v>1000</v>
      </c>
    </row>
    <row r="26" spans="2:10" x14ac:dyDescent="0.55000000000000004">
      <c r="B26" s="133" t="s">
        <v>690</v>
      </c>
      <c r="C26" s="32">
        <f>'Scenario Setup'!C47</f>
        <v>849.89661899512726</v>
      </c>
      <c r="E26" s="9" t="s">
        <v>658</v>
      </c>
      <c r="F26" s="9">
        <f>'Scenario Setup'!C9</f>
        <v>0</v>
      </c>
      <c r="I26">
        <v>367</v>
      </c>
      <c r="J26">
        <v>128</v>
      </c>
    </row>
    <row r="27" spans="2:10" x14ac:dyDescent="0.55000000000000004">
      <c r="B27" s="133" t="s">
        <v>691</v>
      </c>
      <c r="C27" s="12">
        <f>'Scenario Setup'!C53</f>
        <v>872.77208529274287</v>
      </c>
      <c r="E27" s="9" t="s">
        <v>659</v>
      </c>
      <c r="F27" s="9">
        <f>'Scenario Setup'!C10</f>
        <v>0</v>
      </c>
      <c r="I27">
        <f>I26-J26</f>
        <v>239</v>
      </c>
    </row>
    <row r="28" spans="2:10" x14ac:dyDescent="0.55000000000000004">
      <c r="B28" s="132" t="s">
        <v>693</v>
      </c>
      <c r="C28" s="12">
        <f>'Scenario Setup'!C18+'Scenario Setup'!C19</f>
        <v>229.738991</v>
      </c>
      <c r="E28" s="9" t="s">
        <v>670</v>
      </c>
      <c r="F28" s="9">
        <f>'Scenario Setup'!C28</f>
        <v>-85</v>
      </c>
      <c r="I28">
        <f>I27/AVERAGE(I26:J26)</f>
        <v>0.96565656565656566</v>
      </c>
    </row>
    <row r="29" spans="2:10" x14ac:dyDescent="0.55000000000000004">
      <c r="B29" s="133" t="s">
        <v>716</v>
      </c>
      <c r="C29" s="32">
        <f>C26</f>
        <v>849.89661899512726</v>
      </c>
      <c r="E29" s="128" t="s">
        <v>694</v>
      </c>
      <c r="F29" s="131" t="str">
        <f>'Scenario Setup'!C59</f>
        <v>A</v>
      </c>
    </row>
    <row r="30" spans="2:10" x14ac:dyDescent="0.55000000000000004">
      <c r="B30" s="133" t="s">
        <v>692</v>
      </c>
      <c r="C30" s="32">
        <f>C27</f>
        <v>872.77208529274287</v>
      </c>
      <c r="E30" s="128" t="s">
        <v>695</v>
      </c>
      <c r="F30" s="9">
        <v>24</v>
      </c>
    </row>
    <row r="31" spans="2:10" x14ac:dyDescent="0.55000000000000004">
      <c r="B31" s="132" t="s">
        <v>717</v>
      </c>
      <c r="C31" s="9">
        <f>-'Scenario Setup'!C69</f>
        <v>0</v>
      </c>
      <c r="E31" s="134" t="s">
        <v>696</v>
      </c>
      <c r="F31" s="9">
        <f>F21</f>
        <v>4100</v>
      </c>
      <c r="I31">
        <f>126143-105067</f>
        <v>21076</v>
      </c>
      <c r="J31" s="82">
        <f>I31*300</f>
        <v>6322800</v>
      </c>
    </row>
    <row r="32" spans="2:10" x14ac:dyDescent="0.55000000000000004">
      <c r="E32" s="128" t="s">
        <v>697</v>
      </c>
      <c r="F32" s="130">
        <f>F23</f>
        <v>16.033038306927413</v>
      </c>
    </row>
    <row r="34" spans="2:6" x14ac:dyDescent="0.55000000000000004">
      <c r="B34" s="136" t="s">
        <v>673</v>
      </c>
      <c r="C34" s="135" t="s">
        <v>568</v>
      </c>
      <c r="E34" s="135" t="s">
        <v>675</v>
      </c>
      <c r="F34" s="135" t="s">
        <v>568</v>
      </c>
    </row>
    <row r="35" spans="2:6" x14ac:dyDescent="0.55000000000000004">
      <c r="B35" s="9" t="s">
        <v>701</v>
      </c>
      <c r="C35" s="32">
        <f>'Scenario Setup'!C52</f>
        <v>719.20128030673345</v>
      </c>
      <c r="E35" s="9" t="s">
        <v>676</v>
      </c>
      <c r="F35" s="9">
        <f>C7</f>
        <v>1.9</v>
      </c>
    </row>
    <row r="36" spans="2:6" x14ac:dyDescent="0.55000000000000004">
      <c r="B36" s="9" t="s">
        <v>702</v>
      </c>
      <c r="C36" s="12">
        <f>'Scenario Setup'!C51*100</f>
        <v>63.365488410916683</v>
      </c>
      <c r="E36" s="9" t="s">
        <v>677</v>
      </c>
      <c r="F36" s="12">
        <f>SUM(Flowsheet!AA128:AA130)</f>
        <v>70.009999999999991</v>
      </c>
    </row>
    <row r="37" spans="2:6" x14ac:dyDescent="0.55000000000000004">
      <c r="B37" s="9" t="s">
        <v>666</v>
      </c>
      <c r="C37" s="9">
        <f>'Scenario Setup'!C58</f>
        <v>15</v>
      </c>
      <c r="E37" s="9" t="s">
        <v>678</v>
      </c>
      <c r="F37" s="12">
        <f ca="1">SUM(Flowsheet!AA160:AA167)+SUM(Flowsheet!AA169:AA170)</f>
        <v>164.96159604573722</v>
      </c>
    </row>
    <row r="38" spans="2:6" x14ac:dyDescent="0.55000000000000004">
      <c r="B38" s="9" t="s">
        <v>703</v>
      </c>
      <c r="C38" s="9">
        <f>'Scenario Setup'!C64</f>
        <v>0</v>
      </c>
      <c r="E38" s="9" t="s">
        <v>679</v>
      </c>
      <c r="F38" s="12">
        <f t="shared" ref="F38:F47" ca="1" si="1">C11</f>
        <v>119.31802104573723</v>
      </c>
    </row>
    <row r="39" spans="2:6" x14ac:dyDescent="0.55000000000000004">
      <c r="B39" s="9" t="s">
        <v>679</v>
      </c>
      <c r="C39" s="12">
        <f t="shared" ref="C39:C48" ca="1" si="2">F8</f>
        <v>119.31802104573723</v>
      </c>
      <c r="E39" s="9" t="s">
        <v>680</v>
      </c>
      <c r="F39" s="12">
        <f t="shared" si="1"/>
        <v>0</v>
      </c>
    </row>
    <row r="40" spans="2:6" x14ac:dyDescent="0.55000000000000004">
      <c r="B40" s="9" t="s">
        <v>680</v>
      </c>
      <c r="C40" s="12">
        <f t="shared" si="2"/>
        <v>0</v>
      </c>
      <c r="E40" s="9" t="s">
        <v>681</v>
      </c>
      <c r="F40" s="12">
        <f t="shared" si="1"/>
        <v>33.85</v>
      </c>
    </row>
    <row r="41" spans="2:6" x14ac:dyDescent="0.55000000000000004">
      <c r="B41" s="9" t="s">
        <v>681</v>
      </c>
      <c r="C41" s="12">
        <f t="shared" si="2"/>
        <v>33.85</v>
      </c>
      <c r="E41" s="9" t="s">
        <v>682</v>
      </c>
      <c r="F41" s="12">
        <f t="shared" si="1"/>
        <v>0</v>
      </c>
    </row>
    <row r="42" spans="2:6" x14ac:dyDescent="0.55000000000000004">
      <c r="B42" s="9" t="s">
        <v>682</v>
      </c>
      <c r="C42" s="12">
        <f t="shared" si="2"/>
        <v>0</v>
      </c>
      <c r="E42" s="9" t="s">
        <v>683</v>
      </c>
      <c r="F42" s="12">
        <f t="shared" si="1"/>
        <v>56.04</v>
      </c>
    </row>
    <row r="43" spans="2:6" x14ac:dyDescent="0.55000000000000004">
      <c r="B43" s="9" t="s">
        <v>683</v>
      </c>
      <c r="C43" s="12">
        <f t="shared" si="2"/>
        <v>56.04</v>
      </c>
      <c r="E43" s="9" t="s">
        <v>684</v>
      </c>
      <c r="F43" s="12">
        <f t="shared" si="1"/>
        <v>16.41</v>
      </c>
    </row>
    <row r="44" spans="2:6" x14ac:dyDescent="0.55000000000000004">
      <c r="B44" s="9" t="s">
        <v>684</v>
      </c>
      <c r="C44" s="12">
        <f t="shared" si="2"/>
        <v>16.41</v>
      </c>
      <c r="E44" s="9" t="s">
        <v>685</v>
      </c>
      <c r="F44" s="12">
        <f t="shared" si="1"/>
        <v>0</v>
      </c>
    </row>
    <row r="45" spans="2:6" x14ac:dyDescent="0.55000000000000004">
      <c r="B45" s="9" t="s">
        <v>685</v>
      </c>
      <c r="C45" s="12">
        <f t="shared" si="2"/>
        <v>0</v>
      </c>
      <c r="E45" s="9" t="s">
        <v>686</v>
      </c>
      <c r="F45" s="12">
        <f t="shared" si="1"/>
        <v>6.8900000000000006</v>
      </c>
    </row>
    <row r="46" spans="2:6" x14ac:dyDescent="0.55000000000000004">
      <c r="B46" s="9" t="s">
        <v>686</v>
      </c>
      <c r="C46" s="12">
        <f t="shared" si="2"/>
        <v>6.8900000000000006</v>
      </c>
      <c r="E46" s="9" t="s">
        <v>687</v>
      </c>
      <c r="F46" s="12">
        <f t="shared" si="1"/>
        <v>2.4635750000000001</v>
      </c>
    </row>
    <row r="47" spans="2:6" x14ac:dyDescent="0.55000000000000004">
      <c r="B47" s="9" t="s">
        <v>704</v>
      </c>
      <c r="C47" s="12">
        <f t="shared" si="2"/>
        <v>2.4635750000000001</v>
      </c>
      <c r="E47" s="9" t="s">
        <v>688</v>
      </c>
      <c r="F47" s="12">
        <f t="shared" ca="1" si="1"/>
        <v>234.97159604573721</v>
      </c>
    </row>
    <row r="48" spans="2:6" x14ac:dyDescent="0.55000000000000004">
      <c r="B48" s="9" t="s">
        <v>688</v>
      </c>
      <c r="C48" s="12">
        <f t="shared" ca="1" si="2"/>
        <v>234.97159604573721</v>
      </c>
      <c r="E48" s="133" t="s">
        <v>705</v>
      </c>
      <c r="F48" s="32">
        <f>'Scenario Setup'!C62</f>
        <v>25</v>
      </c>
    </row>
    <row r="49" spans="2:6" x14ac:dyDescent="0.55000000000000004">
      <c r="E49" s="9" t="s">
        <v>689</v>
      </c>
      <c r="F49" s="12">
        <f ca="1">F47</f>
        <v>234.97159604573721</v>
      </c>
    </row>
    <row r="50" spans="2:6" x14ac:dyDescent="0.55000000000000004">
      <c r="B50" s="136" t="s">
        <v>669</v>
      </c>
      <c r="C50" s="135" t="s">
        <v>568</v>
      </c>
      <c r="E50" s="133" t="s">
        <v>690</v>
      </c>
      <c r="F50" s="32">
        <f>C26</f>
        <v>849.89661899512726</v>
      </c>
    </row>
    <row r="51" spans="2:6" x14ac:dyDescent="0.55000000000000004">
      <c r="B51" s="9" t="s">
        <v>661</v>
      </c>
      <c r="C51" s="12">
        <f>'Scenario Setup'!C34*100</f>
        <v>69</v>
      </c>
      <c r="E51" s="133" t="s">
        <v>691</v>
      </c>
      <c r="F51" s="32">
        <f>C27</f>
        <v>872.77208529274287</v>
      </c>
    </row>
    <row r="52" spans="2:6" x14ac:dyDescent="0.55000000000000004">
      <c r="B52" s="9" t="s">
        <v>662</v>
      </c>
      <c r="C52" s="32">
        <f>'Scenario Setup'!C35</f>
        <v>2859.8384640875975</v>
      </c>
    </row>
    <row r="53" spans="2:6" x14ac:dyDescent="0.55000000000000004">
      <c r="B53" s="9" t="s">
        <v>663</v>
      </c>
      <c r="C53" s="9">
        <f>'Scenario Setup'!C39</f>
        <v>0</v>
      </c>
    </row>
    <row r="54" spans="2:6" x14ac:dyDescent="0.55000000000000004">
      <c r="B54" s="9" t="s">
        <v>664</v>
      </c>
      <c r="C54" s="9">
        <f>'Scenario Setup'!C33*100</f>
        <v>18.5</v>
      </c>
    </row>
    <row r="55" spans="2:6" x14ac:dyDescent="0.55000000000000004">
      <c r="B55" s="9" t="s">
        <v>665</v>
      </c>
      <c r="C55" s="9">
        <f>_xlfn.XLOOKUP('Scenario Setup'!C4, 'Scenario Setup'!$L$4:$N$4,'Scenario Setup'!L7:N7)</f>
        <v>85</v>
      </c>
    </row>
    <row r="56" spans="2:6" x14ac:dyDescent="0.55000000000000004">
      <c r="B56" s="9" t="s">
        <v>666</v>
      </c>
      <c r="C56" s="9">
        <f>'Scenario Setup'!C58</f>
        <v>15</v>
      </c>
    </row>
    <row r="57" spans="2:6" x14ac:dyDescent="0.55000000000000004">
      <c r="B57" s="9" t="s">
        <v>667</v>
      </c>
      <c r="C57" s="9">
        <f>'Scenario Setup'!C40</f>
        <v>0</v>
      </c>
    </row>
    <row r="58" spans="2:6" x14ac:dyDescent="0.55000000000000004">
      <c r="B58" s="9" t="s">
        <v>671</v>
      </c>
      <c r="C58" s="9">
        <f>'Scenario Setup'!C38</f>
        <v>-75</v>
      </c>
    </row>
    <row r="59" spans="2:6" x14ac:dyDescent="0.55000000000000004">
      <c r="B59" s="134" t="s">
        <v>706</v>
      </c>
      <c r="C59" s="32">
        <f>C52</f>
        <v>2859.8384640875975</v>
      </c>
    </row>
    <row r="60" spans="2:6" x14ac:dyDescent="0.55000000000000004">
      <c r="B60" s="128" t="s">
        <v>694</v>
      </c>
      <c r="C60" s="131" t="str">
        <f>'Scenario Setup'!C59</f>
        <v>A</v>
      </c>
    </row>
    <row r="96" spans="6:6" x14ac:dyDescent="0.55000000000000004">
      <c r="F96" s="16"/>
    </row>
    <row r="106" spans="6:6" x14ac:dyDescent="0.55000000000000004">
      <c r="F106" s="16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22E5-F3A0-4F97-9468-51A01FEEAEFE}">
  <sheetPr codeName="Sheet13"/>
  <dimension ref="B1:CQ302"/>
  <sheetViews>
    <sheetView tabSelected="1" topLeftCell="BU113" zoomScale="85" zoomScaleNormal="85" workbookViewId="0">
      <selection activeCell="CI137" sqref="CI137"/>
    </sheetView>
  </sheetViews>
  <sheetFormatPr defaultRowHeight="14.4" x14ac:dyDescent="0.55000000000000004"/>
  <cols>
    <col min="4" max="4" width="11" bestFit="1" customWidth="1"/>
    <col min="5" max="5" width="13" bestFit="1" customWidth="1"/>
    <col min="6" max="6" width="8.41796875" bestFit="1" customWidth="1"/>
    <col min="8" max="8" width="9.26171875" bestFit="1" customWidth="1"/>
    <col min="9" max="9" width="11" bestFit="1" customWidth="1"/>
    <col min="12" max="12" width="9.83984375" customWidth="1"/>
    <col min="13" max="14" width="11" bestFit="1" customWidth="1"/>
    <col min="16" max="16" width="11.15625" bestFit="1" customWidth="1"/>
    <col min="18" max="18" width="13.15625" bestFit="1" customWidth="1"/>
    <col min="19" max="19" width="10.578125" bestFit="1" customWidth="1"/>
    <col min="21" max="21" width="9.26171875" bestFit="1" customWidth="1"/>
    <col min="22" max="22" width="12.15625" bestFit="1" customWidth="1"/>
    <col min="23" max="23" width="11.68359375" customWidth="1"/>
    <col min="25" max="25" width="9.26171875" bestFit="1" customWidth="1"/>
    <col min="26" max="26" width="12" bestFit="1" customWidth="1"/>
    <col min="27" max="27" width="9.41796875" bestFit="1" customWidth="1"/>
    <col min="28" max="28" width="12.41796875" customWidth="1"/>
    <col min="29" max="30" width="11" bestFit="1" customWidth="1"/>
    <col min="32" max="33" width="11" bestFit="1" customWidth="1"/>
    <col min="35" max="35" width="14" bestFit="1" customWidth="1"/>
    <col min="36" max="36" width="8.26171875" customWidth="1"/>
    <col min="46" max="46" width="11.15625" bestFit="1" customWidth="1"/>
    <col min="49" max="49" width="15.15625" bestFit="1" customWidth="1"/>
    <col min="51" max="51" width="11.26171875" bestFit="1" customWidth="1"/>
    <col min="52" max="52" width="13.26171875" bestFit="1" customWidth="1"/>
    <col min="63" max="63" width="12.68359375" bestFit="1" customWidth="1"/>
    <col min="64" max="64" width="10" bestFit="1" customWidth="1"/>
    <col min="67" max="67" width="9.578125" bestFit="1" customWidth="1"/>
    <col min="68" max="68" width="15.15625" bestFit="1" customWidth="1"/>
    <col min="70" max="70" width="11" bestFit="1" customWidth="1"/>
    <col min="72" max="72" width="9" customWidth="1"/>
    <col min="73" max="73" width="13.83984375" customWidth="1"/>
    <col min="74" max="74" width="12" bestFit="1" customWidth="1"/>
    <col min="75" max="75" width="12.68359375" bestFit="1" customWidth="1"/>
    <col min="84" max="84" width="11.578125" bestFit="1" customWidth="1"/>
    <col min="87" max="87" width="12.26171875" bestFit="1" customWidth="1"/>
    <col min="92" max="92" width="14.26171875" bestFit="1" customWidth="1"/>
  </cols>
  <sheetData>
    <row r="1" spans="2:77" x14ac:dyDescent="0.55000000000000004">
      <c r="B1" t="s">
        <v>0</v>
      </c>
    </row>
    <row r="2" spans="2:77" x14ac:dyDescent="0.55000000000000004">
      <c r="B2" s="42"/>
      <c r="C2" s="29" t="s">
        <v>346</v>
      </c>
      <c r="D2" s="29"/>
    </row>
    <row r="3" spans="2:77" x14ac:dyDescent="0.55000000000000004">
      <c r="B3" s="43"/>
      <c r="C3" s="29" t="s">
        <v>347</v>
      </c>
      <c r="D3" s="29"/>
    </row>
    <row r="4" spans="2:77" x14ac:dyDescent="0.55000000000000004">
      <c r="B4" s="44"/>
      <c r="C4" s="29" t="s">
        <v>10</v>
      </c>
    </row>
    <row r="5" spans="2:77" x14ac:dyDescent="0.55000000000000004">
      <c r="B5" s="29"/>
      <c r="C5" s="29" t="s">
        <v>16</v>
      </c>
      <c r="P5" s="160" t="s">
        <v>1</v>
      </c>
      <c r="Q5" s="161"/>
      <c r="AV5" s="162" t="s">
        <v>2</v>
      </c>
      <c r="AW5" s="162"/>
      <c r="AX5" s="162"/>
      <c r="AY5" s="162"/>
      <c r="AZ5" s="162"/>
      <c r="BD5" s="163" t="s">
        <v>3</v>
      </c>
      <c r="BE5" s="163"/>
      <c r="BF5" s="163"/>
      <c r="BG5" s="163"/>
    </row>
    <row r="6" spans="2:77" x14ac:dyDescent="0.55000000000000004">
      <c r="B6" s="45"/>
      <c r="C6" s="29" t="s">
        <v>348</v>
      </c>
      <c r="P6" s="9" t="s">
        <v>4</v>
      </c>
      <c r="Q6" s="12" cm="1">
        <f t="array" ref="Q6">[1]!PropsSI("T","H",Q9*1000,"P",Q7*100000,"water")-273.15</f>
        <v>117.43885723066575</v>
      </c>
      <c r="AV6" s="9" t="s">
        <v>62</v>
      </c>
      <c r="AW6" s="9"/>
      <c r="AX6" s="9">
        <v>35</v>
      </c>
      <c r="AY6" s="9"/>
      <c r="AZ6" s="9"/>
      <c r="BD6" s="164" t="s">
        <v>5</v>
      </c>
      <c r="BE6" s="164"/>
      <c r="BF6" s="164"/>
      <c r="BG6" s="12">
        <v>12</v>
      </c>
    </row>
    <row r="7" spans="2:77" x14ac:dyDescent="0.55000000000000004">
      <c r="B7" s="46"/>
      <c r="C7" s="29" t="s">
        <v>349</v>
      </c>
      <c r="P7" s="9" t="s">
        <v>6</v>
      </c>
      <c r="Q7" s="70">
        <v>4.5</v>
      </c>
      <c r="X7" s="147" t="s">
        <v>7</v>
      </c>
      <c r="Y7" s="147"/>
      <c r="AA7" s="147" t="s">
        <v>8</v>
      </c>
      <c r="AB7" s="147"/>
      <c r="AV7" s="9" t="s">
        <v>69</v>
      </c>
      <c r="AW7" s="9"/>
      <c r="AX7" s="9">
        <v>0</v>
      </c>
      <c r="AY7" s="9" t="s">
        <v>70</v>
      </c>
      <c r="AZ7" s="9"/>
      <c r="BD7" s="164" t="s">
        <v>9</v>
      </c>
      <c r="BE7" s="164"/>
      <c r="BF7" s="164"/>
      <c r="BG7" s="12">
        <v>120</v>
      </c>
    </row>
    <row r="8" spans="2:77" x14ac:dyDescent="0.55000000000000004">
      <c r="B8" s="28"/>
      <c r="C8" s="29" t="s">
        <v>350</v>
      </c>
      <c r="G8" s="147" t="s">
        <v>11</v>
      </c>
      <c r="H8" s="147"/>
      <c r="P8" s="9" t="s">
        <v>12</v>
      </c>
      <c r="Q8" s="71">
        <f>1</f>
        <v>1</v>
      </c>
      <c r="X8" s="9" t="s">
        <v>13</v>
      </c>
      <c r="Y8" s="22">
        <f>AB165</f>
        <v>33.268740000000001</v>
      </c>
      <c r="Z8" s="25"/>
      <c r="AA8" s="22" t="s">
        <v>13</v>
      </c>
      <c r="AB8" s="22">
        <f>AB128+AB129+AB160+AB161+AB163</f>
        <v>27.29</v>
      </c>
      <c r="BD8" s="164" t="s">
        <v>14</v>
      </c>
      <c r="BE8" s="164"/>
      <c r="BF8" s="164"/>
      <c r="BG8" s="12">
        <v>64</v>
      </c>
      <c r="BP8" t="s">
        <v>15</v>
      </c>
    </row>
    <row r="9" spans="2:77" x14ac:dyDescent="0.55000000000000004">
      <c r="B9" s="47"/>
      <c r="C9" s="29" t="s">
        <v>351</v>
      </c>
      <c r="G9" s="9" t="s">
        <v>13</v>
      </c>
      <c r="H9" s="22">
        <f ca="1">D18-H16</f>
        <v>59.975009846037764</v>
      </c>
      <c r="P9" s="9" t="s">
        <v>17</v>
      </c>
      <c r="Q9" s="12">
        <f>Q11*1000/(Q10/3.6)</f>
        <v>493.12712648205866</v>
      </c>
      <c r="X9" s="9" t="s">
        <v>4</v>
      </c>
      <c r="Y9" s="13">
        <v>115</v>
      </c>
      <c r="AA9" s="9" t="s">
        <v>4</v>
      </c>
      <c r="AB9" s="20">
        <v>117</v>
      </c>
      <c r="BD9" s="164" t="s">
        <v>19</v>
      </c>
      <c r="BE9" s="164"/>
      <c r="BF9" s="164"/>
      <c r="BG9" s="23">
        <f>BG8*1000/1000000/1000*1000</f>
        <v>6.4000000000000001E-2</v>
      </c>
      <c r="BP9" t="s">
        <v>20</v>
      </c>
      <c r="BQ9" t="s">
        <v>21</v>
      </c>
      <c r="BR9" s="15" t="s">
        <v>22</v>
      </c>
      <c r="BT9" t="s">
        <v>23</v>
      </c>
      <c r="BU9" t="s">
        <v>24</v>
      </c>
      <c r="BV9" t="s">
        <v>20</v>
      </c>
      <c r="BW9" t="s">
        <v>25</v>
      </c>
      <c r="BX9">
        <f>BG8*1000/1000000/1000*1000</f>
        <v>6.4000000000000001E-2</v>
      </c>
      <c r="BY9" t="s">
        <v>26</v>
      </c>
    </row>
    <row r="10" spans="2:77" x14ac:dyDescent="0.55000000000000004">
      <c r="B10" s="30"/>
      <c r="C10" s="29" t="s">
        <v>38</v>
      </c>
      <c r="G10" s="9" t="s">
        <v>27</v>
      </c>
      <c r="H10" s="9">
        <f ca="1">H9/3.6*D17/1000</f>
        <v>2.4495329067978502</v>
      </c>
      <c r="P10" s="9" t="s">
        <v>28</v>
      </c>
      <c r="Q10" s="12">
        <f>Y8+AB8+AC14+AG15+AF19</f>
        <v>106.66123999999999</v>
      </c>
      <c r="BD10" s="164" t="s">
        <v>30</v>
      </c>
      <c r="BE10" s="164"/>
      <c r="BF10" s="164"/>
      <c r="BG10" s="12">
        <v>28</v>
      </c>
      <c r="BP10" t="s">
        <v>31</v>
      </c>
      <c r="BQ10" t="s">
        <v>32</v>
      </c>
      <c r="BR10" t="s">
        <v>33</v>
      </c>
      <c r="BT10" t="s">
        <v>24</v>
      </c>
      <c r="BU10" t="s">
        <v>34</v>
      </c>
      <c r="BV10" t="s">
        <v>34</v>
      </c>
      <c r="BW10" t="s">
        <v>35</v>
      </c>
      <c r="BX10">
        <f ca="1">D18*BX9</f>
        <v>9.5687205297454767</v>
      </c>
      <c r="BY10" t="s">
        <v>36</v>
      </c>
    </row>
    <row r="11" spans="2:77" x14ac:dyDescent="0.55000000000000004">
      <c r="B11" s="49"/>
      <c r="C11" s="29" t="s">
        <v>352</v>
      </c>
      <c r="P11" s="9" t="s">
        <v>37</v>
      </c>
      <c r="Q11" s="12" cm="1">
        <f t="array" ref="Q11">(([1]!PropsSI("H","T",Y9+273.15,"P",$Q$7*100000,"water")/1000*(Y8/3.6))+([1]!PropsSI("H","T",AB9+273.15,"P",$Q$7*100000,"water")/1000*(AB8/3.6))+([1]!PropsSI("H","T",AF12+273.15,"P",$Q$7*100000,"water")/1000*((AG15+AF19)/3.6))+([1]!PropsSI("H","T",AC15+273.15,"P",$Q$7*100000,"water")/1000*(AC14/3.6)))/1000</f>
        <v>14.610430774503669</v>
      </c>
    </row>
    <row r="12" spans="2:77" x14ac:dyDescent="0.55000000000000004">
      <c r="C12" s="29"/>
      <c r="P12" s="9" t="s">
        <v>39</v>
      </c>
      <c r="Q12" s="12" cm="1">
        <f t="array" ref="Q12">[1]!PropsSI("Q","P",Q8*100000,"H",Q9*1000,"water")</f>
        <v>3.3499490337745248E-2</v>
      </c>
      <c r="AE12" t="s">
        <v>4</v>
      </c>
      <c r="AF12" s="1">
        <v>107</v>
      </c>
      <c r="BD12" s="165" t="s">
        <v>41</v>
      </c>
      <c r="BE12" s="166"/>
      <c r="BF12" s="167"/>
      <c r="BG12" s="12">
        <f>(BE80+AM71+V70+E63)/1000*3600</f>
        <v>220.28979000000001</v>
      </c>
    </row>
    <row r="13" spans="2:77" x14ac:dyDescent="0.55000000000000004">
      <c r="AB13" s="147" t="s">
        <v>401</v>
      </c>
      <c r="AC13" s="147"/>
      <c r="BD13" s="165" t="s">
        <v>43</v>
      </c>
      <c r="BE13" s="166"/>
      <c r="BF13" s="167"/>
      <c r="BG13" s="12" t="e">
        <f ca="1">BL91+AQ78+AT76+Z78+AC76+I78+'Scenario Setup'!G7</f>
        <v>#VALUE!</v>
      </c>
    </row>
    <row r="14" spans="2:77" x14ac:dyDescent="0.55000000000000004">
      <c r="C14" s="147" t="s">
        <v>44</v>
      </c>
      <c r="D14" s="147"/>
      <c r="V14" s="147" t="s">
        <v>45</v>
      </c>
      <c r="W14" s="147"/>
      <c r="AB14" s="9" t="s">
        <v>13</v>
      </c>
      <c r="AC14" s="22">
        <f>'Steam Demand Data'!O29*'Steam Demand Data'!P29</f>
        <v>17.329999999999998</v>
      </c>
      <c r="AF14" s="147" t="s">
        <v>46</v>
      </c>
      <c r="AG14" s="147"/>
      <c r="BD14" s="165" t="s">
        <v>47</v>
      </c>
      <c r="BE14" s="166"/>
      <c r="BF14" s="167"/>
      <c r="BG14" s="12">
        <f ca="1">AX80</f>
        <v>275.57388366723114</v>
      </c>
    </row>
    <row r="15" spans="2:77" x14ac:dyDescent="0.55000000000000004">
      <c r="C15" s="9" t="s">
        <v>4</v>
      </c>
      <c r="D15" s="20">
        <f>AX6</f>
        <v>35</v>
      </c>
      <c r="G15" s="147" t="s">
        <v>11</v>
      </c>
      <c r="H15" s="147"/>
      <c r="V15" s="9" t="s">
        <v>13</v>
      </c>
      <c r="W15" s="12">
        <f>'Steam Demand Data'!O27*'Steam Demand Data'!P27+'Steam Demand Data'!U27*'Steam Demand Data'!V27</f>
        <v>10.14</v>
      </c>
      <c r="AB15" s="9" t="s">
        <v>4</v>
      </c>
      <c r="AC15" s="13">
        <v>140</v>
      </c>
      <c r="AF15" s="9" t="s">
        <v>13</v>
      </c>
      <c r="AG15" s="22">
        <v>0</v>
      </c>
      <c r="BD15" s="165" t="s">
        <v>49</v>
      </c>
      <c r="BE15" s="166"/>
      <c r="BF15" s="167"/>
      <c r="BG15" s="12">
        <f>AA134</f>
        <v>91.289999999999992</v>
      </c>
    </row>
    <row r="16" spans="2:77" x14ac:dyDescent="0.55000000000000004">
      <c r="C16" s="9" t="s">
        <v>50</v>
      </c>
      <c r="D16" s="20">
        <v>4.5</v>
      </c>
      <c r="G16" s="9" t="s">
        <v>13</v>
      </c>
      <c r="H16" s="12">
        <f ca="1">D42+V44</f>
        <v>89.536248431235308</v>
      </c>
      <c r="V16" s="9" t="s">
        <v>4</v>
      </c>
      <c r="W16" s="13">
        <v>110</v>
      </c>
      <c r="Y16" t="s">
        <v>51</v>
      </c>
      <c r="Z16">
        <f>Y9*Y8/Q10+AB9*AB8/Q10+AC15*AC14/Q10+AF12*(AG15+AF19)/Q10</f>
        <v>117.41559164322484</v>
      </c>
      <c r="BD16" s="165" t="s">
        <v>52</v>
      </c>
      <c r="BE16" s="166"/>
      <c r="BF16" s="167"/>
      <c r="BG16" s="12" t="e">
        <f>BJ101</f>
        <v>#N/A</v>
      </c>
    </row>
    <row r="17" spans="2:79" x14ac:dyDescent="0.55000000000000004">
      <c r="C17" s="9" t="s">
        <v>17</v>
      </c>
      <c r="D17" s="12" cm="1">
        <f t="array" ref="D17">[1]!PropsSI("H","T",D15+273.15,"P",D16*100000,"water")/1000</f>
        <v>147.03321411884423</v>
      </c>
      <c r="G17" s="9" t="s">
        <v>27</v>
      </c>
      <c r="H17" s="12">
        <f ca="1">H16/3.6*D17/1000</f>
        <v>3.6568895519410698</v>
      </c>
      <c r="BD17" s="165" t="s">
        <v>53</v>
      </c>
      <c r="BE17" s="166"/>
      <c r="BF17" s="167"/>
      <c r="BG17" s="12">
        <f ca="1">AA171</f>
        <v>164.96159604573722</v>
      </c>
      <c r="BQ17" s="9" t="s">
        <v>40</v>
      </c>
      <c r="BR17" s="139" t="s">
        <v>54</v>
      </c>
      <c r="BS17" s="139"/>
      <c r="BT17" s="139" t="s">
        <v>55</v>
      </c>
      <c r="BU17" s="139"/>
      <c r="BV17" s="139" t="s">
        <v>56</v>
      </c>
      <c r="BW17" s="139"/>
      <c r="BX17" s="139" t="s">
        <v>57</v>
      </c>
      <c r="BY17" s="139"/>
      <c r="BZ17" s="139" t="s">
        <v>58</v>
      </c>
      <c r="CA17" s="139"/>
    </row>
    <row r="18" spans="2:79" x14ac:dyDescent="0.55000000000000004">
      <c r="C18" s="9" t="s">
        <v>13</v>
      </c>
      <c r="D18" s="12">
        <f ca="1">D26</f>
        <v>149.51125827727307</v>
      </c>
      <c r="F18" s="25"/>
      <c r="L18" s="154" t="s">
        <v>59</v>
      </c>
      <c r="M18" s="155"/>
      <c r="V18" s="147" t="s">
        <v>60</v>
      </c>
      <c r="W18" s="147"/>
      <c r="AE18" s="147" t="s">
        <v>61</v>
      </c>
      <c r="AF18" s="147"/>
      <c r="BH18" s="16"/>
      <c r="BJ18" t="s">
        <v>63</v>
      </c>
      <c r="BK18" s="16">
        <f ca="1">BG22*BG7</f>
        <v>101.80895955640794</v>
      </c>
      <c r="BL18" t="s">
        <v>36</v>
      </c>
      <c r="BQ18" s="9" t="s">
        <v>42</v>
      </c>
      <c r="BR18" s="169">
        <f>AQ78+AT76</f>
        <v>114.621346</v>
      </c>
      <c r="BS18" s="169"/>
      <c r="BT18" s="169">
        <f>AM72*BG6</f>
        <v>714.36212479258654</v>
      </c>
      <c r="BU18" s="169"/>
      <c r="BV18" s="169">
        <f ca="1">AX63*BG7+AX49*AV33*BG9</f>
        <v>44.322449030304625</v>
      </c>
      <c r="BW18" s="169"/>
      <c r="BX18" s="169">
        <f ca="1">BT18+BV18</f>
        <v>758.68457382289114</v>
      </c>
      <c r="BY18" s="169"/>
      <c r="BZ18" s="169">
        <f ca="1">BX18/BR18</f>
        <v>6.6190513399039226</v>
      </c>
      <c r="CA18" s="169"/>
    </row>
    <row r="19" spans="2:79" x14ac:dyDescent="0.55000000000000004">
      <c r="C19" s="9" t="s">
        <v>27</v>
      </c>
      <c r="D19" s="12">
        <f ca="1">D18/3.6*D17/1000</f>
        <v>6.1064224587389209</v>
      </c>
      <c r="L19" s="9" t="s">
        <v>64</v>
      </c>
      <c r="M19" s="69">
        <f ca="1">IFERROR(L48/D24,0.1)</f>
        <v>0.2070624826356896</v>
      </c>
      <c r="V19" s="9" t="s">
        <v>13</v>
      </c>
      <c r="W19" s="22">
        <v>0</v>
      </c>
      <c r="AE19" s="9" t="s">
        <v>13</v>
      </c>
      <c r="AF19" s="9">
        <f>AB130</f>
        <v>28.772500000000001</v>
      </c>
      <c r="BJ19" t="s">
        <v>65</v>
      </c>
      <c r="BK19" s="16">
        <f ca="1">D18*BG9</f>
        <v>9.5687205297454767</v>
      </c>
      <c r="BL19" t="s">
        <v>36</v>
      </c>
      <c r="BQ19" s="9" t="s">
        <v>18</v>
      </c>
      <c r="BR19" s="169">
        <f>Z78+AC76</f>
        <v>115.117645</v>
      </c>
      <c r="BS19" s="169"/>
      <c r="BT19" s="169">
        <f>V71*BG6</f>
        <v>167.95845142049927</v>
      </c>
      <c r="BU19" s="169"/>
      <c r="BV19" s="169">
        <f ca="1">AC50*BG7+V44*BG9</f>
        <v>43.813089839124217</v>
      </c>
      <c r="BW19" s="169"/>
      <c r="BX19" s="169">
        <f ca="1">BT19+BV19</f>
        <v>211.77154125962349</v>
      </c>
      <c r="BY19" s="169"/>
      <c r="BZ19" s="169">
        <f ca="1">BX19/BR19</f>
        <v>1.8396097423607258</v>
      </c>
      <c r="CA19" s="169"/>
    </row>
    <row r="20" spans="2:79" x14ac:dyDescent="0.55000000000000004">
      <c r="C20" s="9" t="s">
        <v>66</v>
      </c>
      <c r="D20" s="53" cm="1">
        <f t="array" aca="1" ref="D20" ca="1">(D18/3.6)/[1]!PropsSI("D","P",D16*100000,"T",D15+273.15,"water")*60*1000</f>
        <v>2506.4234441534659</v>
      </c>
      <c r="L20" s="9" t="s">
        <v>67</v>
      </c>
      <c r="M20" s="69">
        <f ca="1">IFERROR(AC48/D24,0.1)</f>
        <v>0.39179709130480711</v>
      </c>
      <c r="V20" s="9" t="s">
        <v>4</v>
      </c>
      <c r="W20" s="9"/>
      <c r="AR20" s="168" t="s">
        <v>68</v>
      </c>
      <c r="AS20" s="168"/>
      <c r="BD20" s="165" t="s">
        <v>71</v>
      </c>
      <c r="BE20" s="166"/>
      <c r="BF20" s="167"/>
      <c r="BG20" s="12" t="e">
        <f ca="1">BJ101+AA134+AA171</f>
        <v>#N/A</v>
      </c>
      <c r="BQ20" s="9" t="s">
        <v>48</v>
      </c>
      <c r="BR20" s="169">
        <f>BL91</f>
        <v>0</v>
      </c>
      <c r="BS20" s="169"/>
      <c r="BT20" s="169">
        <f>BE81*BG6</f>
        <v>0</v>
      </c>
      <c r="BU20" s="169"/>
      <c r="BV20" s="169">
        <f ca="1">BE54*BG7+(1-AX49)*AV33*BG9</f>
        <v>0</v>
      </c>
      <c r="BW20" s="169"/>
      <c r="BX20" s="169">
        <f ca="1">BT20+BV20</f>
        <v>0</v>
      </c>
      <c r="BY20" s="169"/>
      <c r="BZ20" s="169" t="e">
        <f ca="1">BX20/BR20</f>
        <v>#DIV/0!</v>
      </c>
      <c r="CA20" s="169"/>
    </row>
    <row r="21" spans="2:79" x14ac:dyDescent="0.55000000000000004">
      <c r="L21" s="9" t="s">
        <v>72</v>
      </c>
      <c r="M21" s="69">
        <f ca="1">IFERROR((AX61+BE52)/D24,0.1)</f>
        <v>0.39202967682353285</v>
      </c>
      <c r="P21" t="s">
        <v>73</v>
      </c>
      <c r="AR21" s="9" t="s">
        <v>4</v>
      </c>
      <c r="AS21" s="24" cm="1">
        <f t="array" aca="1" ref="AS21" ca="1">[1]!PropsSI("T","H",AS23*1000,"P",AS22*100000,"water")-273.15</f>
        <v>73.920067517315147</v>
      </c>
      <c r="BD21" s="165" t="s">
        <v>74</v>
      </c>
      <c r="BE21" s="166"/>
      <c r="BF21" s="167"/>
      <c r="BG21" s="12">
        <f ca="1">Q101</f>
        <v>34.772840203619204</v>
      </c>
      <c r="BQ21" s="9" t="s">
        <v>29</v>
      </c>
      <c r="BR21" s="169">
        <f ca="1">I79</f>
        <v>45.834892667231159</v>
      </c>
      <c r="BS21" s="169"/>
      <c r="BT21" s="169">
        <f ca="1">E64*BG6+E68*BG10</f>
        <v>1814.2993161713298</v>
      </c>
      <c r="BU21" s="169"/>
      <c r="BV21" s="169">
        <f ca="1">L50*BG7+D42*BG9</f>
        <v>23.154963003468978</v>
      </c>
      <c r="BW21" s="169"/>
      <c r="BX21" s="169">
        <f ca="1">BT21+BV21</f>
        <v>1837.4542791747988</v>
      </c>
      <c r="BY21" s="169"/>
      <c r="BZ21" s="169">
        <f ca="1">BX21/BR21</f>
        <v>40.088547659858577</v>
      </c>
      <c r="CA21" s="169"/>
    </row>
    <row r="22" spans="2:79" x14ac:dyDescent="0.55000000000000004">
      <c r="M22" s="74"/>
      <c r="V22" s="147" t="s">
        <v>75</v>
      </c>
      <c r="W22" s="147"/>
      <c r="Z22" s="147" t="s">
        <v>513</v>
      </c>
      <c r="AA22" s="147"/>
      <c r="AR22" s="9" t="s">
        <v>50</v>
      </c>
      <c r="AS22" s="20">
        <v>4.5</v>
      </c>
      <c r="BD22" s="165" t="s">
        <v>76</v>
      </c>
      <c r="BE22" s="166"/>
      <c r="BF22" s="167"/>
      <c r="BG22" s="9">
        <f ca="1">AX63+BE54+AC50+L50</f>
        <v>0.84840799630339947</v>
      </c>
      <c r="BJ22">
        <f ca="1">BK34/(E71*3600/1000)</f>
        <v>4.6520901176314213</v>
      </c>
      <c r="BK22" t="s">
        <v>77</v>
      </c>
    </row>
    <row r="23" spans="2:79" x14ac:dyDescent="0.55000000000000004">
      <c r="B23" s="147" t="s">
        <v>65</v>
      </c>
      <c r="C23" s="147"/>
      <c r="D23" s="147"/>
      <c r="V23" s="9" t="s">
        <v>13</v>
      </c>
      <c r="W23" s="9">
        <f>AB166</f>
        <v>35.487442000000001</v>
      </c>
      <c r="Z23" s="9" t="s">
        <v>13</v>
      </c>
      <c r="AA23" s="12">
        <f>IF('Scenario Setup'!H9=TRUE,AL136,IF('Scenario Setup'!H8=TRUE,BE214,0))</f>
        <v>0</v>
      </c>
      <c r="AB23" s="54"/>
      <c r="AR23" s="9" t="s">
        <v>17</v>
      </c>
      <c r="AS23" s="9">
        <f ca="1">(H10+AK26)*1000/(AS24/3.6)</f>
        <v>309.83471945391307</v>
      </c>
      <c r="BJ23" t="s">
        <v>78</v>
      </c>
      <c r="BM23">
        <v>12</v>
      </c>
    </row>
    <row r="24" spans="2:79" x14ac:dyDescent="0.55000000000000004">
      <c r="B24" s="9" t="s">
        <v>79</v>
      </c>
      <c r="C24" s="9"/>
      <c r="D24" s="12">
        <f ca="1">L48+AC48+AX61+BE52-I49+H55</f>
        <v>298.22684309848114</v>
      </c>
      <c r="V24" s="9" t="s">
        <v>4</v>
      </c>
      <c r="W24" s="13">
        <v>115</v>
      </c>
      <c r="Z24" s="9" t="s">
        <v>4</v>
      </c>
      <c r="AA24" s="9">
        <f>IF('Scenario Setup'!H9=TRUE,AL133,IF('Scenario Setup'!H8=TRUE,BE211,0))</f>
        <v>0</v>
      </c>
      <c r="AK24" t="s">
        <v>80</v>
      </c>
      <c r="AL24" s="16">
        <v>3.534625530183007</v>
      </c>
      <c r="AR24" s="9" t="s">
        <v>13</v>
      </c>
      <c r="AS24" s="9">
        <f ca="1">H9+AL47+AK36</f>
        <v>64.087747884416572</v>
      </c>
      <c r="BG24" s="16"/>
      <c r="BJ24" t="s">
        <v>81</v>
      </c>
      <c r="BM24">
        <v>7</v>
      </c>
    </row>
    <row r="25" spans="2:79" x14ac:dyDescent="0.55000000000000004">
      <c r="B25" s="9" t="s">
        <v>82</v>
      </c>
      <c r="C25" s="9"/>
      <c r="D25" s="12">
        <f>V32</f>
        <v>148.71558482120807</v>
      </c>
      <c r="AR25" s="9" t="s">
        <v>37</v>
      </c>
      <c r="AS25" s="9">
        <f ca="1">AS24/3.6*AS23/1000</f>
        <v>5.5157248295003658</v>
      </c>
    </row>
    <row r="26" spans="2:79" x14ac:dyDescent="0.55000000000000004">
      <c r="B26" s="9" t="s">
        <v>83</v>
      </c>
      <c r="C26" s="9"/>
      <c r="D26" s="12">
        <f ca="1">D24-D25</f>
        <v>149.51125827727307</v>
      </c>
      <c r="AK26" s="25">
        <f>AK38+AL49</f>
        <v>3.0661919227025156</v>
      </c>
      <c r="AL26" t="s">
        <v>84</v>
      </c>
      <c r="AM26" t="s">
        <v>85</v>
      </c>
    </row>
    <row r="28" spans="2:79" x14ac:dyDescent="0.55000000000000004">
      <c r="U28" s="168" t="s">
        <v>86</v>
      </c>
      <c r="V28" s="168"/>
    </row>
    <row r="29" spans="2:79" x14ac:dyDescent="0.55000000000000004">
      <c r="U29" s="9" t="s">
        <v>4</v>
      </c>
      <c r="V29" s="12" cm="1">
        <f t="array" ref="V29">[1]!PropsSI("T","H",V31*1000,"P",V30*100000,"water")-273.15</f>
        <v>103.95169290233815</v>
      </c>
      <c r="W29" t="str">
        <f>IF(AX7&gt;0,"Manual value","Calculated value")</f>
        <v>Calculated value</v>
      </c>
    </row>
    <row r="30" spans="2:79" x14ac:dyDescent="0.55000000000000004">
      <c r="U30" s="9" t="s">
        <v>87</v>
      </c>
      <c r="V30" s="114">
        <v>4.5</v>
      </c>
      <c r="Y30" s="26"/>
    </row>
    <row r="31" spans="2:79" x14ac:dyDescent="0.55000000000000004">
      <c r="U31" s="9" t="s">
        <v>17</v>
      </c>
      <c r="V31" s="12" cm="1">
        <f t="array" ref="V31">IF(AX7&gt;0,[1]!PropsSI("H","T",AX7+273.15,"P",V30*100000,"water")/1000,V33*1000/(V32/3.6))</f>
        <v>436.09314751002995</v>
      </c>
      <c r="Z31" s="25"/>
      <c r="BH31" s="6"/>
      <c r="BI31" s="6"/>
      <c r="BJ31" s="6"/>
      <c r="BK31" s="16"/>
    </row>
    <row r="32" spans="2:79" x14ac:dyDescent="0.55000000000000004">
      <c r="K32" s="160" t="s">
        <v>88</v>
      </c>
      <c r="L32" s="161"/>
      <c r="O32" s="160" t="s">
        <v>89</v>
      </c>
      <c r="P32" s="161"/>
      <c r="U32" s="9" t="s">
        <v>13</v>
      </c>
      <c r="V32" s="12">
        <f>(Q10-AK36)+W15+W19+W23+AA23</f>
        <v>148.71558482120807</v>
      </c>
      <c r="X32" s="25"/>
      <c r="AB32" s="160" t="s">
        <v>88</v>
      </c>
      <c r="AC32" s="161"/>
      <c r="AU32" s="154" t="s">
        <v>90</v>
      </c>
      <c r="AV32" s="155"/>
      <c r="AZ32" s="154" t="s">
        <v>88</v>
      </c>
      <c r="BA32" s="155"/>
      <c r="BD32" s="160" t="s">
        <v>91</v>
      </c>
      <c r="BE32" s="161"/>
      <c r="BH32" s="164" t="s">
        <v>92</v>
      </c>
      <c r="BI32" s="164"/>
      <c r="BJ32" s="164"/>
      <c r="BK32" s="12">
        <f>BG12*BG6</f>
        <v>2643.47748</v>
      </c>
    </row>
    <row r="33" spans="3:71" x14ac:dyDescent="0.55000000000000004">
      <c r="K33" s="9" t="s">
        <v>13</v>
      </c>
      <c r="L33" s="22">
        <f ca="1">(F37+D42+P36)*L34</f>
        <v>0.14363295361232664</v>
      </c>
      <c r="O33" s="9" t="s">
        <v>4</v>
      </c>
      <c r="P33" s="114">
        <v>155</v>
      </c>
      <c r="U33" s="9" t="s">
        <v>37</v>
      </c>
      <c r="V33" s="12" cm="1">
        <f t="array" ref="V33">Q11-AK38+([1]!PropsSI("H","T",W16+273.15,"P",$Q$7*100000,"water")/1000*(W15/3.6)+[1]!PropsSI("H","T",W20+273.15,"P",$Q$7*100000,"water")/1000*(W19/3.6)+([1]!PropsSI("H","T",W24+273.15,"P",$Q$7*100000,"water")/1000*(W23/3.6)))/1000+[1]!PropsSI("H","T",AA24+273.15,"P",$Q$7*100000,"water")/1000*(AA23/3.6)/1000</f>
        <v>18.01495763013207</v>
      </c>
      <c r="AB33" s="9" t="s">
        <v>13</v>
      </c>
      <c r="AC33" s="9">
        <f ca="1">(V37+V44+AF43)*AC34</f>
        <v>0.26382704111635774</v>
      </c>
      <c r="AU33" s="9" t="s">
        <v>13</v>
      </c>
      <c r="AV33" s="20">
        <f ca="1">(AX61+BE52)-AP43</f>
        <v>58.612850263919114</v>
      </c>
      <c r="AZ33" s="9" t="s">
        <v>13</v>
      </c>
      <c r="BA33" s="9">
        <f ca="1">(AP43+AV33+BE36)*BA34</f>
        <v>0.26340322959394169</v>
      </c>
      <c r="BD33" s="9" t="s">
        <v>4</v>
      </c>
      <c r="BE33" s="20">
        <v>155</v>
      </c>
      <c r="BH33" s="164" t="s">
        <v>93</v>
      </c>
      <c r="BI33" s="164"/>
      <c r="BJ33" s="164"/>
      <c r="BK33" s="12" cm="1">
        <f t="array" aca="1" ref="BK33" ca="1">(H9+V44+D42)*BG8*1000/1000000/[1]!PropsSI("D","T",20+273.15,"P",450000,"water")*1000</f>
        <v>9.5843735751596579</v>
      </c>
    </row>
    <row r="34" spans="3:71" x14ac:dyDescent="0.55000000000000004">
      <c r="K34" s="9" t="s">
        <v>94</v>
      </c>
      <c r="L34" s="14">
        <v>2E-3</v>
      </c>
      <c r="O34" s="9" t="s">
        <v>50</v>
      </c>
      <c r="P34" s="114">
        <v>4.5</v>
      </c>
      <c r="AB34" s="9" t="s">
        <v>94</v>
      </c>
      <c r="AC34" s="14">
        <v>2E-3</v>
      </c>
      <c r="AU34" s="9" t="s">
        <v>27</v>
      </c>
      <c r="AV34" s="9">
        <f ca="1">AV33/3.6*AS23/1000</f>
        <v>5.0445266716432204</v>
      </c>
      <c r="AZ34" s="9" t="s">
        <v>94</v>
      </c>
      <c r="BA34" s="14">
        <v>2E-3</v>
      </c>
      <c r="BD34" s="9" t="s">
        <v>50</v>
      </c>
      <c r="BE34" s="20">
        <v>4.5</v>
      </c>
      <c r="BH34" s="164" t="s">
        <v>95</v>
      </c>
      <c r="BI34" s="164"/>
      <c r="BJ34" s="164"/>
      <c r="BK34" s="12">
        <f ca="1">BG10*E68</f>
        <v>53.142412384415252</v>
      </c>
    </row>
    <row r="35" spans="3:71" x14ac:dyDescent="0.55000000000000004">
      <c r="I35" t="s">
        <v>96</v>
      </c>
      <c r="O35" s="9" t="s">
        <v>17</v>
      </c>
      <c r="P35" s="12" cm="1">
        <f t="array" ref="P35">[1]!PropsSI("H","T",P33+273.15,"P",P34*100000,"water")/1000</f>
        <v>2759.9470922208834</v>
      </c>
      <c r="Z35" t="s">
        <v>97</v>
      </c>
      <c r="AJ35" s="154" t="s">
        <v>98</v>
      </c>
      <c r="AK35" s="155"/>
      <c r="AX35" t="s">
        <v>99</v>
      </c>
      <c r="BD35" s="9" t="s">
        <v>100</v>
      </c>
      <c r="BE35" s="9" cm="1">
        <f t="array" ref="BE35">[1]!PropsSI("H","T",BE33+273.15,"P",BE34*100000,"water")/1000</f>
        <v>2759.9470922208834</v>
      </c>
      <c r="BH35" s="164" t="s">
        <v>57</v>
      </c>
      <c r="BI35" s="164"/>
      <c r="BJ35" s="164"/>
      <c r="BK35" s="12">
        <f ca="1">SUM(BK32:BK34)</f>
        <v>2706.204265959575</v>
      </c>
    </row>
    <row r="36" spans="3:71" x14ac:dyDescent="0.55000000000000004">
      <c r="E36" s="160" t="s">
        <v>101</v>
      </c>
      <c r="F36" s="161"/>
      <c r="O36" s="9" t="s">
        <v>13</v>
      </c>
      <c r="P36" s="115">
        <f ca="1">(D42+F37)*(L47-D46)/(P35-L47)</f>
        <v>10.064886285587544</v>
      </c>
      <c r="U36" s="147" t="s">
        <v>102</v>
      </c>
      <c r="V36" s="147"/>
      <c r="AJ36" s="9" t="s">
        <v>13</v>
      </c>
      <c r="AK36" s="9">
        <f>Q10*Q12</f>
        <v>3.5730971787919268</v>
      </c>
      <c r="BD36" s="9" t="s">
        <v>13</v>
      </c>
      <c r="BE36" s="53">
        <f ca="1">(AP43+AV33)*(BE51-AV44)/(BE35-BE51)</f>
        <v>14.78784187697082</v>
      </c>
      <c r="BH36" s="164" t="s">
        <v>103</v>
      </c>
      <c r="BI36" s="164"/>
      <c r="BJ36" s="164"/>
      <c r="BK36" s="12">
        <f ca="1">BG7*BG21</f>
        <v>4172.7408244343042</v>
      </c>
      <c r="BP36" s="4"/>
    </row>
    <row r="37" spans="3:71" x14ac:dyDescent="0.55000000000000004">
      <c r="E37" s="9" t="s">
        <v>13</v>
      </c>
      <c r="F37" s="53">
        <f ca="1">V32*M19</f>
        <v>30.793418199697822</v>
      </c>
      <c r="O37" s="9" t="s">
        <v>27</v>
      </c>
      <c r="P37" s="12">
        <f ca="1">L49+H57-D43-F38-I50-S52</f>
        <v>6.2513200097544841</v>
      </c>
      <c r="U37" s="9" t="s">
        <v>13</v>
      </c>
      <c r="V37" s="53">
        <f ca="1">V32*M20</f>
        <v>58.266333564642643</v>
      </c>
      <c r="AJ37" s="9" t="s">
        <v>100</v>
      </c>
      <c r="AK37" s="9" cm="1">
        <f t="array" ref="AK37">[1]!PropsSI("H","Q",1,"P",Q8*100000,"water")/1000</f>
        <v>2674.9476774689942</v>
      </c>
      <c r="BD37" s="9" t="s">
        <v>27</v>
      </c>
      <c r="BE37" s="9">
        <f ca="1">AX62+BE53-AV34-AP44</f>
        <v>8.8640812238855453</v>
      </c>
      <c r="BH37" s="6"/>
      <c r="BI37" s="6"/>
      <c r="BJ37" s="6"/>
      <c r="BK37" s="16"/>
    </row>
    <row r="38" spans="3:71" x14ac:dyDescent="0.55000000000000004">
      <c r="E38" s="9" t="s">
        <v>27</v>
      </c>
      <c r="F38" s="12">
        <f ca="1">F37/3.6*V31/1000</f>
        <v>3.7302218514719065</v>
      </c>
      <c r="U38" s="9" t="s">
        <v>27</v>
      </c>
      <c r="V38" s="12">
        <f ca="1">V37/3.6*V31/1000</f>
        <v>7.058207999465087</v>
      </c>
      <c r="AJ38" s="9" t="s">
        <v>27</v>
      </c>
      <c r="AK38" s="9">
        <f>AK36/3.6*AK37/1000</f>
        <v>2.6549577777168003</v>
      </c>
      <c r="BH38" s="164" t="s">
        <v>104</v>
      </c>
      <c r="BI38" s="164"/>
      <c r="BJ38" s="164"/>
      <c r="BK38" s="12"/>
    </row>
    <row r="39" spans="3:71" x14ac:dyDescent="0.55000000000000004">
      <c r="AE39" s="160" t="s">
        <v>105</v>
      </c>
      <c r="AF39" s="161"/>
      <c r="BH39" s="164" t="s">
        <v>106</v>
      </c>
      <c r="BI39" s="164"/>
      <c r="BJ39" s="164"/>
      <c r="BK39" s="22">
        <f ca="1">(BX18+BX19+BX21)/AX80</f>
        <v>10.189319673151617</v>
      </c>
    </row>
    <row r="40" spans="3:71" x14ac:dyDescent="0.55000000000000004">
      <c r="AE40" s="9" t="s">
        <v>4</v>
      </c>
      <c r="AF40" s="20">
        <v>155</v>
      </c>
      <c r="BH40" s="9" t="s">
        <v>107</v>
      </c>
      <c r="BI40" s="9"/>
      <c r="BJ40" s="9"/>
      <c r="BK40" s="22" t="e">
        <f ca="1">((BK39*T114)+(BK41*AQ116)+(BK39*H107) -(H107/3.6*(#REF!-#REF!)/1000*Flowsheet!BG7))/AX120</f>
        <v>#DIV/0!</v>
      </c>
    </row>
    <row r="41" spans="3:71" ht="13.9" customHeight="1" x14ac:dyDescent="0.55000000000000004">
      <c r="C41" s="160" t="s">
        <v>108</v>
      </c>
      <c r="D41" s="161"/>
      <c r="AE41" s="9" t="s">
        <v>50</v>
      </c>
      <c r="AF41" s="20">
        <v>4.5</v>
      </c>
      <c r="BH41" s="164" t="s">
        <v>109</v>
      </c>
      <c r="BI41" s="164"/>
      <c r="BJ41" s="164"/>
      <c r="BK41" s="22" t="e">
        <f ca="1">BZ20</f>
        <v>#DIV/0!</v>
      </c>
    </row>
    <row r="42" spans="3:71" x14ac:dyDescent="0.55000000000000004">
      <c r="C42" s="9" t="s">
        <v>13</v>
      </c>
      <c r="D42" s="53">
        <f ca="1">L48-F37</f>
        <v>30.95817232087796</v>
      </c>
      <c r="AE42" s="9" t="s">
        <v>100</v>
      </c>
      <c r="AF42" s="12" cm="1">
        <f t="array" ref="AF42">[1]!PropsSI("H","T",AF40+273.15,"P",AF41*100000,"water")/1000</f>
        <v>2759.9470922208834</v>
      </c>
      <c r="AO42" s="160" t="s">
        <v>110</v>
      </c>
      <c r="AP42" s="161"/>
      <c r="BH42" s="164" t="s">
        <v>111</v>
      </c>
      <c r="BI42" s="164"/>
      <c r="BJ42" s="164"/>
      <c r="BK42" s="22" t="e">
        <f ca="1">((P126*BK40)-(J127/3.6*(#REF!-#REF!)/1000*Flowsheet!BG7) - (J127/3.6*(#REF!-#REF!)/1000*Flowsheet!BG7))/AX120</f>
        <v>#DIV/0!</v>
      </c>
    </row>
    <row r="43" spans="3:71" x14ac:dyDescent="0.55000000000000004">
      <c r="C43" s="9" t="s">
        <v>27</v>
      </c>
      <c r="D43" s="12">
        <f ca="1">D42/3.6*D17/1000</f>
        <v>1.2644109943288129</v>
      </c>
      <c r="U43" s="160" t="s">
        <v>108</v>
      </c>
      <c r="V43" s="161"/>
      <c r="AE43" s="9" t="s">
        <v>13</v>
      </c>
      <c r="AF43" s="53">
        <f ca="1">(V44+V37)*(AC47-Y45)/(AF42-AC47)</f>
        <v>15.069110883178867</v>
      </c>
      <c r="AO43" s="9" t="s">
        <v>13</v>
      </c>
      <c r="AP43" s="24">
        <f ca="1">V32*M21</f>
        <v>58.300922656080886</v>
      </c>
      <c r="AU43" s="159" t="s">
        <v>112</v>
      </c>
      <c r="AV43" s="159"/>
    </row>
    <row r="44" spans="3:71" x14ac:dyDescent="0.55000000000000004">
      <c r="K44" s="160" t="s">
        <v>113</v>
      </c>
      <c r="L44" s="161"/>
      <c r="U44" s="9" t="s">
        <v>13</v>
      </c>
      <c r="V44" s="27">
        <f ca="1">AC48-V37</f>
        <v>58.578076110357351</v>
      </c>
      <c r="X44" s="144" t="s">
        <v>112</v>
      </c>
      <c r="Y44" s="146"/>
      <c r="AB44" s="160" t="s">
        <v>114</v>
      </c>
      <c r="AC44" s="161"/>
      <c r="AE44" s="9" t="s">
        <v>27</v>
      </c>
      <c r="AF44" s="12">
        <f ca="1">AF43/3.6*AF42/1000</f>
        <v>11.552763545662106</v>
      </c>
      <c r="AO44" s="9" t="s">
        <v>27</v>
      </c>
      <c r="AP44" s="9">
        <f ca="1">AP43/3.6*V31/1000</f>
        <v>7.0623980177303141</v>
      </c>
      <c r="AU44" s="9" t="s">
        <v>115</v>
      </c>
      <c r="AV44" s="9">
        <f ca="1">IF(AV45=0,0,(AP44+AV34)*1000/((AV33+AP43)/3.6))</f>
        <v>372.7955038416934</v>
      </c>
    </row>
    <row r="45" spans="3:71" x14ac:dyDescent="0.55000000000000004">
      <c r="C45" s="144" t="s">
        <v>112</v>
      </c>
      <c r="D45" s="146"/>
      <c r="H45" s="160" t="s">
        <v>116</v>
      </c>
      <c r="I45" s="161"/>
      <c r="K45" s="9" t="s">
        <v>4</v>
      </c>
      <c r="L45" s="114">
        <v>150</v>
      </c>
      <c r="N45" s="147" t="s">
        <v>117</v>
      </c>
      <c r="O45" s="147"/>
      <c r="U45" s="9" t="s">
        <v>27</v>
      </c>
      <c r="V45" s="12">
        <f ca="1">V44/3.6*D17/1000</f>
        <v>2.3924785576122574</v>
      </c>
      <c r="X45" s="9" t="s">
        <v>115</v>
      </c>
      <c r="Y45" s="9">
        <f ca="1">(V38+V45)*1000/((V44+V37)/3.6)</f>
        <v>291.17757280909848</v>
      </c>
      <c r="AB45" s="9" t="s">
        <v>4</v>
      </c>
      <c r="AC45" s="20">
        <v>135</v>
      </c>
      <c r="AU45" s="9" t="s">
        <v>118</v>
      </c>
      <c r="AV45" s="9">
        <f ca="1">AP43+AV33</f>
        <v>116.91377292</v>
      </c>
      <c r="AZ45" t="s">
        <v>4</v>
      </c>
      <c r="BA45" s="1">
        <v>152</v>
      </c>
    </row>
    <row r="46" spans="3:71" x14ac:dyDescent="0.55000000000000004">
      <c r="C46" s="9" t="s">
        <v>115</v>
      </c>
      <c r="D46" s="12">
        <f ca="1">(F38+D43)*1000/((D42+F37)/3.6)</f>
        <v>291.17757280909848</v>
      </c>
      <c r="H46" s="9" t="s">
        <v>4</v>
      </c>
      <c r="I46" s="12" cm="1">
        <f t="array" ref="I46">[1]!PropsSI("T","Q",0,"P",I47*100000,"water")-273.15</f>
        <v>189.80936611614334</v>
      </c>
      <c r="K46" s="9" t="s">
        <v>50</v>
      </c>
      <c r="L46" s="114">
        <v>85</v>
      </c>
      <c r="N46" s="9" t="s">
        <v>13</v>
      </c>
      <c r="O46" s="13">
        <v>10</v>
      </c>
      <c r="P46" s="54"/>
      <c r="X46" s="9" t="s">
        <v>118</v>
      </c>
      <c r="Y46" s="9">
        <f ca="1">V37+V44</f>
        <v>116.84440967499999</v>
      </c>
      <c r="AB46" s="9" t="s">
        <v>50</v>
      </c>
      <c r="AC46" s="9">
        <v>85</v>
      </c>
      <c r="AK46" s="154" t="s">
        <v>119</v>
      </c>
      <c r="AL46" s="155"/>
      <c r="AU46" s="9" t="s">
        <v>120</v>
      </c>
      <c r="AV46" s="9" cm="1">
        <f t="array" aca="1" ref="AV46" ca="1">[1]!PropsSI("T","P",D15*100000,"H",AV44*1000,"water")-273.15</f>
        <v>88.356162874067536</v>
      </c>
    </row>
    <row r="47" spans="3:71" x14ac:dyDescent="0.55000000000000004">
      <c r="C47" s="9" t="s">
        <v>118</v>
      </c>
      <c r="D47" s="12">
        <f ca="1">F37+D42</f>
        <v>61.751590520575782</v>
      </c>
      <c r="H47" s="9" t="s">
        <v>50</v>
      </c>
      <c r="I47" s="20">
        <v>12.5</v>
      </c>
      <c r="K47" s="9" t="s">
        <v>17</v>
      </c>
      <c r="L47" s="12" cm="1">
        <f t="array" ref="L47">[1]!PropsSI("H","T",L45+273.15,"P",L46*100000,"water")/1000</f>
        <v>637.16898847364087</v>
      </c>
      <c r="N47" s="9" t="s">
        <v>27</v>
      </c>
      <c r="O47" s="22">
        <f>O46/3.6*L47/1000</f>
        <v>1.7699138568712247</v>
      </c>
      <c r="X47" s="9" t="s">
        <v>120</v>
      </c>
      <c r="Y47" s="9" cm="1">
        <f t="array" aca="1" ref="Y47" ca="1">[1]!PropsSI("T","P",D16*100000,"H",Y45*1000,"water")-273.15</f>
        <v>69.46764641744619</v>
      </c>
      <c r="AB47" s="9" t="s">
        <v>100</v>
      </c>
      <c r="AC47" s="12" cm="1">
        <f t="array" ref="AC47">[1]!PropsSI("H","T",AC45+273.15,"P",AC46*100000,"water")/1000</f>
        <v>573.19689482863953</v>
      </c>
      <c r="AK47" s="9" t="s">
        <v>13</v>
      </c>
      <c r="AL47" s="9">
        <f>(AU70+BM83)*AZ75</f>
        <v>0.53964085958687735</v>
      </c>
      <c r="BP47" s="6"/>
      <c r="BQ47" s="6"/>
      <c r="BR47" s="6"/>
      <c r="BS47" s="16"/>
    </row>
    <row r="48" spans="3:71" x14ac:dyDescent="0.55000000000000004">
      <c r="C48" s="9" t="s">
        <v>120</v>
      </c>
      <c r="D48" s="12" cm="1">
        <f t="array" aca="1" ref="D48" ca="1">[1]!PropsSI("T","P",D16*100000,"H",D46*1000,"water")-273.15</f>
        <v>69.46764641744619</v>
      </c>
      <c r="H48" s="9" t="s">
        <v>17</v>
      </c>
      <c r="I48" s="12" cm="1">
        <f t="array" ref="I48">[1]!PropsSI("H","Q",0,"P",I47*100000,"water")/1000</f>
        <v>806.58181965401161</v>
      </c>
      <c r="K48" s="9" t="s">
        <v>13</v>
      </c>
      <c r="L48" s="12">
        <f ca="1">N65+O46</f>
        <v>61.751590520575782</v>
      </c>
      <c r="AB48" s="9" t="s">
        <v>13</v>
      </c>
      <c r="AC48" s="12">
        <f>Z78+AD70</f>
        <v>116.84440967499999</v>
      </c>
      <c r="AK48" s="9" t="s">
        <v>121</v>
      </c>
      <c r="AL48" s="9" cm="1">
        <f t="array" ref="AL48">[1]!PropsSI("H","P",AZ73*100000,"Q",1,"water")/1000</f>
        <v>2743.3855232569499</v>
      </c>
    </row>
    <row r="49" spans="4:57" x14ac:dyDescent="0.55000000000000004">
      <c r="H49" s="9" t="s">
        <v>13</v>
      </c>
      <c r="I49" s="20">
        <f>P58</f>
        <v>0</v>
      </c>
      <c r="K49" s="9" t="s">
        <v>27</v>
      </c>
      <c r="L49" s="12">
        <f ca="1">L48/3.6*L47/1000</f>
        <v>10.929499574620483</v>
      </c>
      <c r="R49" s="154" t="s">
        <v>122</v>
      </c>
      <c r="S49" s="155"/>
      <c r="AB49" s="9" t="s">
        <v>27</v>
      </c>
      <c r="AC49" s="12">
        <f>AC48/3.6*AC47/1000</f>
        <v>18.604125778832067</v>
      </c>
      <c r="AK49" s="9" t="s">
        <v>123</v>
      </c>
      <c r="AL49" s="9">
        <f>AL47/3.6*AL48/1000</f>
        <v>0.41123414498571542</v>
      </c>
      <c r="AW49" t="s">
        <v>124</v>
      </c>
      <c r="AX49">
        <f>AX61/(AX61+BE52)</f>
        <v>1</v>
      </c>
      <c r="BD49" s="154" t="s">
        <v>125</v>
      </c>
      <c r="BE49" s="155"/>
    </row>
    <row r="50" spans="4:57" x14ac:dyDescent="0.55000000000000004">
      <c r="H50" s="9" t="s">
        <v>27</v>
      </c>
      <c r="I50" s="9">
        <f>I49/3.6*I48/1000</f>
        <v>0</v>
      </c>
      <c r="K50" s="9" t="s">
        <v>126</v>
      </c>
      <c r="L50" s="12" cm="1">
        <f t="array" aca="1" ref="L50" ca="1">[1]!PropsSI("D","P",D16*100000,"T",D48+273.15,"water")^-1*(L46-D16)*100*L48/3.6/0.8/1000</f>
        <v>0.17644699979110659</v>
      </c>
      <c r="R50" s="9" t="s">
        <v>13</v>
      </c>
      <c r="S50" s="12">
        <f ca="1">M70*R75</f>
        <v>0.21579209930074353</v>
      </c>
      <c r="AB50" s="9" t="s">
        <v>126</v>
      </c>
      <c r="AC50" s="12" cm="1">
        <f t="array" aca="1" ref="AC50" ca="1">[1]!PropsSI("D","P",D16*100000,"T",Y47+273.15,"water")^-1*(AC46-D16)*100*AC48/3.6/0.8/1000</f>
        <v>0.33386744140051122</v>
      </c>
      <c r="BD50" s="9" t="s">
        <v>50</v>
      </c>
      <c r="BE50" s="9">
        <v>5.3</v>
      </c>
    </row>
    <row r="51" spans="4:57" x14ac:dyDescent="0.55000000000000004">
      <c r="D51" t="s">
        <v>386</v>
      </c>
      <c r="E51" s="81">
        <f>'Scenario Setup'!C20</f>
        <v>5244.9949999999999</v>
      </c>
      <c r="R51" s="9" t="s">
        <v>121</v>
      </c>
      <c r="S51" s="12" cm="1">
        <f t="array" ref="S51">[1]!PropsSI("H","P",R73*100000,"Q",1,"water")/1000</f>
        <v>2743.3855232569499</v>
      </c>
      <c r="BD51" s="9" t="s">
        <v>100</v>
      </c>
      <c r="BE51" s="9" cm="1">
        <f t="array" ref="BE51">[1]!PropsSI("H","T",BA45+273.15,"P",BE50*100000,"water")/1000</f>
        <v>640.83185464673397</v>
      </c>
    </row>
    <row r="52" spans="4:57" x14ac:dyDescent="0.55000000000000004">
      <c r="D52" t="s">
        <v>452</v>
      </c>
      <c r="E52" s="16">
        <f>AM68</f>
        <v>1417.385168239259</v>
      </c>
      <c r="R52" s="9" t="s">
        <v>123</v>
      </c>
      <c r="S52" s="12">
        <f ca="1">S50/3.6*S51/1000</f>
        <v>0.16444470034857944</v>
      </c>
      <c r="BD52" s="9" t="s">
        <v>13</v>
      </c>
      <c r="BE52" s="9">
        <f>BL91+BM83</f>
        <v>0</v>
      </c>
    </row>
    <row r="53" spans="4:57" x14ac:dyDescent="0.55000000000000004">
      <c r="D53" t="s">
        <v>387</v>
      </c>
      <c r="E53" s="16">
        <f>V67</f>
        <v>333.25089567559382</v>
      </c>
      <c r="K53">
        <f>P59-I50</f>
        <v>0</v>
      </c>
      <c r="L53" t="s">
        <v>84</v>
      </c>
      <c r="N53" t="s">
        <v>127</v>
      </c>
      <c r="X53" s="149" t="s">
        <v>469</v>
      </c>
      <c r="Y53" s="149"/>
      <c r="Z53" s="149"/>
      <c r="AA53" s="149"/>
      <c r="AB53" s="149"/>
      <c r="AC53" s="149"/>
      <c r="AH53" t="s">
        <v>612</v>
      </c>
      <c r="AO53" s="149" t="s">
        <v>470</v>
      </c>
      <c r="AP53" s="149"/>
      <c r="AQ53" s="149"/>
      <c r="AR53" s="149"/>
      <c r="AS53" s="149"/>
      <c r="BD53" s="9" t="s">
        <v>27</v>
      </c>
      <c r="BE53" s="9">
        <f>BE52/3.6*BE51/1000</f>
        <v>0</v>
      </c>
    </row>
    <row r="54" spans="4:57" x14ac:dyDescent="0.55000000000000004">
      <c r="D54" t="s">
        <v>388</v>
      </c>
      <c r="E54" s="16">
        <f>E51-E52-E53</f>
        <v>3494.3589360851474</v>
      </c>
      <c r="G54" s="154" t="s">
        <v>128</v>
      </c>
      <c r="H54" s="155"/>
      <c r="O54" s="160" t="s">
        <v>129</v>
      </c>
      <c r="P54" s="161"/>
      <c r="X54" s="19" t="s">
        <v>599</v>
      </c>
      <c r="Y54" s="19" t="s">
        <v>600</v>
      </c>
      <c r="Z54" s="19" t="s">
        <v>466</v>
      </c>
      <c r="AA54" s="19" t="s">
        <v>467</v>
      </c>
      <c r="AB54" s="19" t="s">
        <v>468</v>
      </c>
      <c r="AC54" s="19" t="s">
        <v>601</v>
      </c>
      <c r="AO54" s="19" t="s">
        <v>599</v>
      </c>
      <c r="AP54" s="19" t="s">
        <v>602</v>
      </c>
      <c r="AQ54" s="19" t="s">
        <v>467</v>
      </c>
      <c r="AR54" s="19" t="s">
        <v>466</v>
      </c>
      <c r="AS54" s="19" t="s">
        <v>465</v>
      </c>
      <c r="BD54" s="9" t="s">
        <v>126</v>
      </c>
      <c r="BE54" s="9" cm="1">
        <f t="array" aca="1" ref="BE54" ca="1">[1]!PropsSI("D","P",AS22*100000,"T",AV46+273.15,"water")^-1*(BE50-AS22)*100*BE52/3.6/0.8/1000</f>
        <v>0</v>
      </c>
    </row>
    <row r="55" spans="4:57" x14ac:dyDescent="0.55000000000000004">
      <c r="E55" s="16">
        <f>E54-E60</f>
        <v>0</v>
      </c>
      <c r="G55" s="9" t="s">
        <v>13</v>
      </c>
      <c r="H55" s="9">
        <f ca="1">H56*L48</f>
        <v>2.7170699829053344</v>
      </c>
      <c r="O55" s="9" t="s">
        <v>4</v>
      </c>
      <c r="P55" s="20">
        <v>201</v>
      </c>
      <c r="X55" s="19" t="s">
        <v>463</v>
      </c>
      <c r="Y55" s="118">
        <v>0.78099312959324818</v>
      </c>
      <c r="Z55" s="118">
        <v>0.79264613767579151</v>
      </c>
      <c r="AA55" s="118">
        <v>0.80844929125997134</v>
      </c>
      <c r="AB55" s="118">
        <v>0.81485968513949292</v>
      </c>
      <c r="AC55" s="118">
        <v>0.81481531989341305</v>
      </c>
      <c r="AO55" s="19" t="s">
        <v>463</v>
      </c>
      <c r="AP55" s="118">
        <v>0.66792938726429918</v>
      </c>
      <c r="AQ55" s="118">
        <v>0.67660922441821236</v>
      </c>
      <c r="AR55" s="111">
        <v>0.67119894479986908</v>
      </c>
      <c r="AS55" s="111">
        <v>0.65556786504363729</v>
      </c>
      <c r="AT55" s="73"/>
    </row>
    <row r="56" spans="4:57" x14ac:dyDescent="0.55000000000000004">
      <c r="G56" s="9" t="s">
        <v>130</v>
      </c>
      <c r="H56" s="18">
        <v>4.3999999999999997E-2</v>
      </c>
      <c r="O56" s="9" t="s">
        <v>50</v>
      </c>
      <c r="P56" s="20">
        <v>12.5</v>
      </c>
      <c r="X56" s="19" t="s">
        <v>464</v>
      </c>
      <c r="Y56" s="119">
        <v>0.75</v>
      </c>
      <c r="Z56" s="119">
        <v>0.75</v>
      </c>
      <c r="AA56" s="119">
        <v>0.75</v>
      </c>
      <c r="AB56" s="119">
        <v>0.75</v>
      </c>
      <c r="AC56" s="119">
        <v>0.75</v>
      </c>
      <c r="AO56" s="19" t="s">
        <v>464</v>
      </c>
      <c r="AP56" s="10">
        <v>0.75</v>
      </c>
      <c r="AQ56" s="10">
        <v>0.75</v>
      </c>
      <c r="AR56" s="10">
        <v>0.75</v>
      </c>
      <c r="AS56" s="10">
        <v>0.75</v>
      </c>
      <c r="AT56" s="8"/>
    </row>
    <row r="57" spans="4:57" x14ac:dyDescent="0.55000000000000004">
      <c r="E57" s="82"/>
      <c r="G57" s="9" t="s">
        <v>27</v>
      </c>
      <c r="H57" s="9">
        <f ca="1">H55/3.6*L47/1000</f>
        <v>0.48089798128330125</v>
      </c>
      <c r="O57" s="9" t="s">
        <v>17</v>
      </c>
      <c r="P57" s="12" cm="1">
        <f t="array" ref="P57">[1]!PropsSI("H","T",P55+273.15,"P",P56*100000,"water")/1000</f>
        <v>2815.4978550965939</v>
      </c>
      <c r="U57" s="160" t="s">
        <v>131</v>
      </c>
      <c r="V57" s="161"/>
    </row>
    <row r="58" spans="4:57" x14ac:dyDescent="0.55000000000000004">
      <c r="O58" s="9" t="s">
        <v>13</v>
      </c>
      <c r="P58" s="20">
        <v>0</v>
      </c>
      <c r="U58" s="9" t="s">
        <v>4</v>
      </c>
      <c r="V58" s="12">
        <v>130</v>
      </c>
      <c r="AL58" s="58" t="s">
        <v>131</v>
      </c>
      <c r="AM58" s="59"/>
      <c r="AW58" s="154" t="s">
        <v>132</v>
      </c>
      <c r="AX58" s="155"/>
    </row>
    <row r="59" spans="4:57" x14ac:dyDescent="0.55000000000000004">
      <c r="D59" s="160" t="s">
        <v>133</v>
      </c>
      <c r="E59" s="161"/>
      <c r="I59" s="31" t="s">
        <v>134</v>
      </c>
      <c r="O59" s="9" t="s">
        <v>27</v>
      </c>
      <c r="P59" s="9">
        <f>P58/3.6*P57/1000</f>
        <v>0</v>
      </c>
      <c r="U59" s="9" t="s">
        <v>66</v>
      </c>
      <c r="V59" s="12">
        <f>'Scenario Setup'!C52</f>
        <v>719.20128030673345</v>
      </c>
      <c r="Z59" s="31" t="s">
        <v>135</v>
      </c>
      <c r="AL59" s="9" t="s">
        <v>4</v>
      </c>
      <c r="AM59" s="9">
        <v>130</v>
      </c>
      <c r="AQ59" s="31" t="s">
        <v>136</v>
      </c>
      <c r="AW59" s="9" t="s">
        <v>50</v>
      </c>
      <c r="AX59" s="9">
        <v>85</v>
      </c>
    </row>
    <row r="60" spans="4:57" x14ac:dyDescent="0.55000000000000004">
      <c r="D60" s="9" t="s">
        <v>137</v>
      </c>
      <c r="E60" s="66">
        <f>IF(OR('Scenario Setup'!H8=TRUE,'Scenario Setup'!H9=TRUE),'Scenario Setup'!H7,E54)</f>
        <v>3494.3589360851474</v>
      </c>
      <c r="G60" t="s">
        <v>460</v>
      </c>
      <c r="H60" s="5">
        <v>0.75</v>
      </c>
      <c r="U60" s="9" t="s">
        <v>13</v>
      </c>
      <c r="V60" s="12" cm="1">
        <f t="array" ref="V60">(V59/1000/60*rho_BL(V58,V61))*3.6</f>
        <v>57.390078520406696</v>
      </c>
      <c r="AJ60">
        <f>AM71*AP56*1000/(AQ73-AX60)*3.6</f>
        <v>17.441094321215079</v>
      </c>
      <c r="AL60" s="9" t="s">
        <v>66</v>
      </c>
      <c r="AM60" s="32">
        <f>'Scenario Setup'!C48</f>
        <v>626.88223400312904</v>
      </c>
      <c r="AW60" s="9" t="s">
        <v>100</v>
      </c>
      <c r="AX60" s="9" cm="1">
        <f t="array" ref="AX60">[1]!PropsSI("H","T",BA45+273.15,"P",AX59*100000,"water")/1000</f>
        <v>645.73761843603916</v>
      </c>
    </row>
    <row r="61" spans="4:57" x14ac:dyDescent="0.55000000000000004">
      <c r="D61" s="9" t="s">
        <v>13</v>
      </c>
      <c r="E61" s="12">
        <f>(E63)*0.670926899745453/E62*3.6</f>
        <v>2.3444594075854277</v>
      </c>
      <c r="G61" t="s">
        <v>461</v>
      </c>
      <c r="H61" s="5">
        <v>0.67</v>
      </c>
      <c r="M61" s="160" t="s">
        <v>138</v>
      </c>
      <c r="N61" s="161"/>
      <c r="U61" s="9" t="s">
        <v>367</v>
      </c>
      <c r="V61" s="11">
        <f>'Scenario Setup'!C51</f>
        <v>0.63365488410916682</v>
      </c>
      <c r="AL61" s="9" t="s">
        <v>13</v>
      </c>
      <c r="AM61" s="12" cm="1">
        <f t="array" ref="AM61">(AM60/1000/60*rho_BL(AM59,AM62))*3.6</f>
        <v>51.322259601155011</v>
      </c>
      <c r="AN61">
        <f>rho_BL(AM59,AM62)</f>
        <v>1364.48434324</v>
      </c>
      <c r="AW61" s="9" t="s">
        <v>13</v>
      </c>
      <c r="AX61" s="13">
        <f>AQ78+AU70</f>
        <v>116.91377292</v>
      </c>
    </row>
    <row r="62" spans="4:57" x14ac:dyDescent="0.55000000000000004">
      <c r="D62" s="9" t="s">
        <v>355</v>
      </c>
      <c r="E62" s="12">
        <v>42</v>
      </c>
      <c r="M62" s="9" t="s">
        <v>4</v>
      </c>
      <c r="N62" s="9">
        <f>L45</f>
        <v>150</v>
      </c>
      <c r="U62" s="9" t="s">
        <v>142</v>
      </c>
      <c r="V62" s="71">
        <f>15*V61-3</f>
        <v>6.5048232616375028</v>
      </c>
      <c r="AH62" s="168" t="s">
        <v>141</v>
      </c>
      <c r="AI62" s="168"/>
      <c r="AL62" s="9" t="s">
        <v>140</v>
      </c>
      <c r="AM62" s="10">
        <f>'Scenario Setup'!C45</f>
        <v>0.69</v>
      </c>
      <c r="AW62" s="9" t="s">
        <v>27</v>
      </c>
      <c r="AX62" s="9">
        <f>AX61/3.6*AX60/1000</f>
        <v>20.971005913259081</v>
      </c>
    </row>
    <row r="63" spans="4:57" x14ac:dyDescent="0.55000000000000004">
      <c r="D63" s="9" t="s">
        <v>27</v>
      </c>
      <c r="E63" s="12">
        <f>E64*1000/3600</f>
        <v>40.767520920993384</v>
      </c>
      <c r="G63" t="s">
        <v>462</v>
      </c>
      <c r="H63" s="4">
        <f ca="1">(I74-N66)/(E71+E63)</f>
        <v>0.72039060760083662</v>
      </c>
      <c r="M63" s="9" t="s">
        <v>50</v>
      </c>
      <c r="N63" s="9">
        <f>L46</f>
        <v>85</v>
      </c>
      <c r="U63" s="9" t="s">
        <v>27</v>
      </c>
      <c r="V63" s="12">
        <f>V60/3.6*V62</f>
        <v>103.69786604076229</v>
      </c>
      <c r="X63" t="s">
        <v>450</v>
      </c>
      <c r="Y63" s="73">
        <f>(Z74-AC49)/V63</f>
        <v>0.80911275681889649</v>
      </c>
      <c r="AH63" s="9" t="s">
        <v>13</v>
      </c>
      <c r="AI63" s="12">
        <f>AI75*AD70</f>
        <v>0.40648308802849636</v>
      </c>
      <c r="AL63" s="9" t="s">
        <v>142</v>
      </c>
      <c r="AM63" s="13">
        <f>15*AM62-3</f>
        <v>7.35</v>
      </c>
      <c r="AW63" s="9" t="s">
        <v>126</v>
      </c>
      <c r="AX63" s="9" cm="1">
        <f t="array" aca="1" ref="AX63" ca="1">[1]!PropsSI("D","P",AS22*100000,"T",AV46+273.15,"water")^-1*(AX59-AS22)*100*AX61/3.6/0.8/1000</f>
        <v>0.33809355511178169</v>
      </c>
    </row>
    <row r="64" spans="4:57" x14ac:dyDescent="0.55000000000000004">
      <c r="D64" s="9" t="s">
        <v>143</v>
      </c>
      <c r="E64" s="12">
        <f>E60*E62/1000</f>
        <v>146.7630753155762</v>
      </c>
      <c r="M64" s="9" t="s">
        <v>17</v>
      </c>
      <c r="N64" s="12" cm="1">
        <f t="array" ref="N64">[1]!PropsSI("H","T",N62+273.15,"P",N63*100000,"water")/1000</f>
        <v>637.16898847364087</v>
      </c>
      <c r="U64" s="9" t="s">
        <v>398</v>
      </c>
      <c r="V64" s="12" cm="1">
        <f t="array" ref="V64">(V59/1000/60*rho_BL(V58,V61))*V61*3.6*24</f>
        <v>872.77208529274287</v>
      </c>
      <c r="X64" t="s">
        <v>451</v>
      </c>
      <c r="Y64" s="73">
        <f>(Z74-AC49)/(V70+V63)</f>
        <v>0.77987310226040008</v>
      </c>
      <c r="AH64" s="9" t="s">
        <v>121</v>
      </c>
      <c r="AI64" s="12" cm="1">
        <f t="array" ref="AI64">[1]!PropsSI("H","P",AI73*100000,"Q",1,"water")/1000</f>
        <v>2743.3855232569499</v>
      </c>
      <c r="AL64" s="9" t="s">
        <v>27</v>
      </c>
      <c r="AM64" s="12">
        <f>AM61/3.6*AM63</f>
        <v>104.78294668569147</v>
      </c>
      <c r="AO64" t="s">
        <v>450</v>
      </c>
      <c r="AP64" s="4">
        <f>IF(AM64=0,0,(AQ74-AX62)/AM64)</f>
        <v>0.7739279667049801</v>
      </c>
    </row>
    <row r="65" spans="3:61" x14ac:dyDescent="0.55000000000000004">
      <c r="M65" s="9" t="s">
        <v>13</v>
      </c>
      <c r="N65" s="12">
        <f ca="1">I79+M70+AA88</f>
        <v>51.751590520575782</v>
      </c>
      <c r="AH65" s="9" t="s">
        <v>123</v>
      </c>
      <c r="AI65" s="12">
        <f>AI63/3.6*AI64/1000</f>
        <v>0.30976106087393257</v>
      </c>
      <c r="AL65" s="9" t="s">
        <v>398</v>
      </c>
      <c r="AM65" s="12" cm="1">
        <f t="array" ref="AM65">(AM60/1000/60*rho_BL(AM59,AM62))*AM62*3.6*24</f>
        <v>849.8966189951268</v>
      </c>
      <c r="AO65" t="s">
        <v>451</v>
      </c>
      <c r="AP65" s="73">
        <f>(AQ74-AX62)/(AM71+AM64)</f>
        <v>0.6684392499358599</v>
      </c>
    </row>
    <row r="66" spans="3:61" x14ac:dyDescent="0.55000000000000004">
      <c r="D66" s="160" t="s">
        <v>144</v>
      </c>
      <c r="E66" s="161"/>
      <c r="M66" s="9" t="s">
        <v>27</v>
      </c>
      <c r="N66" s="12">
        <f ca="1">(L49-O47)+K53</f>
        <v>9.1595857177492572</v>
      </c>
      <c r="U66" s="160" t="s">
        <v>133</v>
      </c>
      <c r="V66" s="161"/>
    </row>
    <row r="67" spans="3:61" x14ac:dyDescent="0.55000000000000004">
      <c r="D67" s="9" t="s">
        <v>4</v>
      </c>
      <c r="E67" s="9">
        <v>15</v>
      </c>
      <c r="P67" t="s">
        <v>358</v>
      </c>
      <c r="U67" s="9" t="s">
        <v>137</v>
      </c>
      <c r="V67" s="12">
        <f>V71/V69*1000</f>
        <v>333.25089567559382</v>
      </c>
      <c r="AF67" s="16"/>
      <c r="AL67" s="154" t="s">
        <v>133</v>
      </c>
      <c r="AM67" s="155"/>
    </row>
    <row r="68" spans="3:61" x14ac:dyDescent="0.55000000000000004">
      <c r="D68" s="9" t="s">
        <v>13</v>
      </c>
      <c r="E68" s="27">
        <f ca="1">E71/E70*3.6</f>
        <v>1.8979432994434018</v>
      </c>
      <c r="F68" s="35" t="s">
        <v>356</v>
      </c>
      <c r="P68" s="98"/>
      <c r="U68" s="9" t="s">
        <v>13</v>
      </c>
      <c r="V68" s="12">
        <f>V67*0.708054601969439/1000</f>
        <v>0.23595983029354164</v>
      </c>
      <c r="AL68" s="9" t="s">
        <v>137</v>
      </c>
      <c r="AM68" s="32">
        <f>AM72/AM70*1000</f>
        <v>1417.385168239259</v>
      </c>
    </row>
    <row r="69" spans="3:61" x14ac:dyDescent="0.55000000000000004">
      <c r="D69" s="9" t="s">
        <v>145</v>
      </c>
      <c r="E69" s="85">
        <f>'Scenario Setup'!C70</f>
        <v>0.6</v>
      </c>
      <c r="H69" s="160" t="s">
        <v>146</v>
      </c>
      <c r="I69" s="161"/>
      <c r="L69" s="160" t="s">
        <v>147</v>
      </c>
      <c r="M69" s="161"/>
      <c r="U69" s="9" t="s">
        <v>139</v>
      </c>
      <c r="V69" s="12">
        <v>42</v>
      </c>
      <c r="Y69" s="160" t="s">
        <v>146</v>
      </c>
      <c r="Z69" s="161"/>
      <c r="AC69" s="160" t="s">
        <v>147</v>
      </c>
      <c r="AD69" s="161"/>
      <c r="AJ69">
        <f>AQ74+AU73-AM64*AM73-AX62</f>
        <v>13.116751271634936</v>
      </c>
      <c r="AL69" s="9" t="s">
        <v>13</v>
      </c>
      <c r="AM69" s="12">
        <f>AM68*0.708054601969439/1000</f>
        <v>1.0035860911350349</v>
      </c>
      <c r="AP69" s="154" t="s">
        <v>146</v>
      </c>
      <c r="AQ69" s="155"/>
      <c r="AT69" s="154" t="s">
        <v>147</v>
      </c>
      <c r="AU69" s="155"/>
    </row>
    <row r="70" spans="3:61" x14ac:dyDescent="0.55000000000000004">
      <c r="D70" s="9" t="s">
        <v>142</v>
      </c>
      <c r="E70" s="12">
        <f>-21.457*E69+18.893</f>
        <v>6.0188000000000006</v>
      </c>
      <c r="H70" s="9" t="s">
        <v>4</v>
      </c>
      <c r="I70" s="57">
        <v>400</v>
      </c>
      <c r="L70" s="9" t="s">
        <v>13</v>
      </c>
      <c r="M70" s="9">
        <f ca="1">I78*M71</f>
        <v>0.91669785334462317</v>
      </c>
      <c r="U70" s="9" t="s">
        <v>27</v>
      </c>
      <c r="V70" s="12">
        <f>IF(Y63&gt;V72,((Z74-AC49)-V63*V72)/AB56,0)</f>
        <v>3.8879271162152613</v>
      </c>
      <c r="Y70" s="9" t="s">
        <v>4</v>
      </c>
      <c r="Z70" s="48">
        <v>400</v>
      </c>
      <c r="AC70" s="9" t="s">
        <v>13</v>
      </c>
      <c r="AD70" s="12">
        <f>(Z78+AC76)*AD71</f>
        <v>1.7267646749999999</v>
      </c>
      <c r="AL70" s="9" t="s">
        <v>139</v>
      </c>
      <c r="AM70" s="12">
        <v>42</v>
      </c>
      <c r="AP70" s="9" t="s">
        <v>4</v>
      </c>
      <c r="AQ70" s="48">
        <v>400</v>
      </c>
      <c r="AT70" s="9" t="s">
        <v>13</v>
      </c>
      <c r="AU70" s="9">
        <f>(AQ78+AT76)*AU71</f>
        <v>2.29242692</v>
      </c>
    </row>
    <row r="71" spans="3:61" x14ac:dyDescent="0.55000000000000004">
      <c r="D71" s="9" t="s">
        <v>27</v>
      </c>
      <c r="E71" s="32">
        <f ca="1">I76/3.6/H61*(I73-N64)/1000</f>
        <v>3.1731503140805408</v>
      </c>
      <c r="H71" s="9" t="s">
        <v>148</v>
      </c>
      <c r="I71" s="12" cm="1">
        <f t="array" ref="I71">[1]!PropsSI("T","P",I72*100000,"Q",0,"water")-273.15</f>
        <v>257.43663545633387</v>
      </c>
      <c r="L71" s="9" t="s">
        <v>94</v>
      </c>
      <c r="M71" s="14">
        <v>0.02</v>
      </c>
      <c r="U71" s="9" t="s">
        <v>143</v>
      </c>
      <c r="V71" s="12">
        <f>V70/1000*3600</f>
        <v>13.996537618374941</v>
      </c>
      <c r="Y71" s="9" t="s">
        <v>148</v>
      </c>
      <c r="Z71" s="12" cm="1">
        <f t="array" ref="Z71">[1]!PropsSI("T","P",Z72*100000,"Q",0,"water")-273.15</f>
        <v>257.43663545633387</v>
      </c>
      <c r="AC71" s="9" t="s">
        <v>94</v>
      </c>
      <c r="AD71" s="14">
        <v>1.4999999999999999E-2</v>
      </c>
      <c r="AL71" s="9" t="s">
        <v>27</v>
      </c>
      <c r="AM71" s="12">
        <f>IF(AP64&gt;AM73,((AQ74-AX62)-AM64*AM73)/AQ56,0)</f>
        <v>16.536160296124688</v>
      </c>
      <c r="AP71" s="9" t="s">
        <v>148</v>
      </c>
      <c r="AQ71" s="32" cm="1">
        <f t="array" ref="AQ71">[1]!PropsSI("T","P",AQ72*100000,"Q",0,"water")-273.15</f>
        <v>257.43663545633387</v>
      </c>
      <c r="AT71" s="9" t="s">
        <v>94</v>
      </c>
      <c r="AU71" s="14">
        <v>0.02</v>
      </c>
    </row>
    <row r="72" spans="3:61" x14ac:dyDescent="0.55000000000000004">
      <c r="H72" s="9" t="s">
        <v>50</v>
      </c>
      <c r="I72" s="114">
        <v>45</v>
      </c>
      <c r="L72" s="9" t="s">
        <v>66</v>
      </c>
      <c r="M72" s="9" cm="1">
        <f t="array" aca="1" ref="M72" ca="1">(M70/3.6)/[1]!PropsSI("D","P",I72*100000,"Q",0,"water")*60*1000</f>
        <v>19.398041398491642</v>
      </c>
      <c r="Q72" s="170" t="s">
        <v>149</v>
      </c>
      <c r="R72" s="170"/>
      <c r="U72" s="9" t="s">
        <v>605</v>
      </c>
      <c r="V72" s="11">
        <f>IF(AND(V64&gt;=800,V64&lt;=900),Y55,IF(AND(V64&gt;=900,V64&lt;=1000),Z55,IF(AND(V64&gt;=1000,V64&lt;=1100),AA55,IF(AND(V64&gt;=1100,V64&lt;=1200),AB55,IF(V64&gt;1200,AC55,0)))))</f>
        <v>0.78099312959324818</v>
      </c>
      <c r="Y72" s="9" t="s">
        <v>50</v>
      </c>
      <c r="Z72" s="20">
        <v>45</v>
      </c>
      <c r="AC72" s="9" t="s">
        <v>66</v>
      </c>
      <c r="AD72" s="12" cm="1">
        <f t="array" ref="AD72">(AD70/3.6)/[1]!PropsSI("D","P",Z72*100000,"Q",0,"water")*60*1000</f>
        <v>36.53968701780142</v>
      </c>
      <c r="AH72" s="170" t="s">
        <v>149</v>
      </c>
      <c r="AI72" s="170"/>
      <c r="AL72" s="9" t="s">
        <v>143</v>
      </c>
      <c r="AM72" s="12">
        <f>AM71/1000*3600</f>
        <v>59.530177066048878</v>
      </c>
      <c r="AP72" s="9" t="s">
        <v>50</v>
      </c>
      <c r="AQ72" s="20">
        <v>45</v>
      </c>
      <c r="AT72" s="9" t="s">
        <v>66</v>
      </c>
      <c r="AU72" s="9" cm="1">
        <f t="array" ref="AU72">(AU70/3.6)/[1]!PropsSI("D","P",AQ72*100000,"Q",0,"water")*60*1000</f>
        <v>48.509541213531314</v>
      </c>
      <c r="AY72" s="144" t="s">
        <v>149</v>
      </c>
      <c r="AZ72" s="146"/>
      <c r="BI72" s="31" t="s">
        <v>150</v>
      </c>
    </row>
    <row r="73" spans="3:61" x14ac:dyDescent="0.55000000000000004">
      <c r="F73" s="4"/>
      <c r="H73" s="9" t="s">
        <v>151</v>
      </c>
      <c r="I73" s="12" cm="1">
        <f t="array" ref="I73">[1]!PropsSI("H","T",I70+273.15,"P",I72*100000,"water")/1000</f>
        <v>3205.6476778196393</v>
      </c>
      <c r="L73" s="9" t="s">
        <v>27</v>
      </c>
      <c r="M73" s="9" cm="1">
        <f t="array" aca="1" ref="M73" ca="1">[1]!PropsSI("H","P",I72*100000,"Q",0,"water")/1000*(M70/3.6)/1000</f>
        <v>0.28576734260651421</v>
      </c>
      <c r="Q73" s="9" t="s">
        <v>50</v>
      </c>
      <c r="R73" s="33">
        <v>4.5</v>
      </c>
      <c r="Y73" s="9" t="s">
        <v>151</v>
      </c>
      <c r="Z73" s="32" cm="1">
        <f t="array" ref="Z73">[1]!PropsSI("H","T",Z70+273.15,"P",Z72*100000,"water")/1000</f>
        <v>3205.6476778196393</v>
      </c>
      <c r="AC73" s="9" t="s">
        <v>27</v>
      </c>
      <c r="AD73" s="12" cm="1">
        <f t="array" ref="AD73">[1]!PropsSI("H","P",Z72*100000,"Q",0,"water")/1000*(AD70/3.6)/1000</f>
        <v>0.53829399805089584</v>
      </c>
      <c r="AH73" s="9" t="s">
        <v>50</v>
      </c>
      <c r="AI73" s="33">
        <v>4.5</v>
      </c>
      <c r="AL73" s="9" t="s">
        <v>605</v>
      </c>
      <c r="AM73" s="11">
        <f>IF(AND(AM65&gt;=800,AM65&lt;=900),AS55,IF(AND(AM65&gt;=900,AM65&lt;=1000),AR55,IF(AND(AM65&gt;=1000,AM65&lt;=1100),AQ55,IF(AM65&gt;1100,AP55,0))))</f>
        <v>0.65556786504363729</v>
      </c>
      <c r="AP73" s="9" t="s">
        <v>151</v>
      </c>
      <c r="AQ73" s="32" cm="1">
        <f t="array" ref="AQ73">[1]!PropsSI("H","T",AQ70+273.15,"P",AQ72*100000,"water")/1000</f>
        <v>3205.6476778196393</v>
      </c>
      <c r="AT73" s="9" t="s">
        <v>27</v>
      </c>
      <c r="AU73" s="9" cm="1">
        <f t="array" ref="AU73">[1]!PropsSI("H","P",AQ72*100000,"Q",0,"water")/1000*(AU70/3.6)/1000</f>
        <v>0.71463104954142131</v>
      </c>
      <c r="AY73" s="9" t="s">
        <v>50</v>
      </c>
      <c r="AZ73" s="33">
        <v>4.5</v>
      </c>
      <c r="BI73" s="5">
        <v>0.8</v>
      </c>
    </row>
    <row r="74" spans="3:61" x14ac:dyDescent="0.55000000000000004">
      <c r="H74" s="9" t="s">
        <v>152</v>
      </c>
      <c r="I74" s="12">
        <f ca="1">I79/3.6*I73/1000</f>
        <v>40.814032567172767</v>
      </c>
      <c r="Q74" s="9" t="s">
        <v>153</v>
      </c>
      <c r="R74" s="12" cm="1">
        <f t="array" ref="R74">[1]!PropsSI("H","P",I72*100000,"Q",0,"water")/1000</f>
        <v>1122.2481100287887</v>
      </c>
      <c r="Y74" s="9" t="s">
        <v>27</v>
      </c>
      <c r="Z74" s="32">
        <f>(Z78)/3.6*Z73/1000</f>
        <v>102.50739204730988</v>
      </c>
      <c r="AH74" s="9" t="s">
        <v>153</v>
      </c>
      <c r="AI74" s="9" cm="1">
        <f t="array" ref="AI74">[1]!PropsSI("H","P",Z72*100000,"Q",0,"water")/1000</f>
        <v>1122.2481100287887</v>
      </c>
      <c r="AP74" s="9" t="s">
        <v>27</v>
      </c>
      <c r="AQ74" s="32">
        <f>(AQ78+AT76)/3.6*AQ73/1000</f>
        <v>102.06545878707261</v>
      </c>
      <c r="AY74" s="9" t="s">
        <v>153</v>
      </c>
      <c r="AZ74" s="12">
        <f>(AU73+BM86)*1000/((AU70+BM83)/3.6)</f>
        <v>1122.2481100287887</v>
      </c>
    </row>
    <row r="75" spans="3:61" x14ac:dyDescent="0.55000000000000004">
      <c r="Q75" s="9" t="s">
        <v>39</v>
      </c>
      <c r="R75" s="22" cm="1">
        <f t="array" ref="R75">[1]!PropsSI("Q","P",R73*100000,"H",R74*1000,"water")</f>
        <v>0.23540155408176647</v>
      </c>
      <c r="V75" t="s">
        <v>607</v>
      </c>
      <c r="W75" s="16">
        <f>Z73-AC47</f>
        <v>2632.4507829909999</v>
      </c>
      <c r="AH75" s="9" t="s">
        <v>39</v>
      </c>
      <c r="AI75" s="22" cm="1">
        <f t="array" ref="AI75">[1]!PropsSI("Q","P",AI73*100000,"H",AI74*1000,"water")</f>
        <v>0.23540155408176647</v>
      </c>
      <c r="AY75" s="9" t="s">
        <v>39</v>
      </c>
      <c r="AZ75" s="12" cm="1">
        <f t="array" ref="AZ75">[1]!PropsSI("Q","P",AZ73*100000,"H",AZ74*1000,"water")</f>
        <v>0.23540155408176647</v>
      </c>
      <c r="BD75" s="154" t="s">
        <v>133</v>
      </c>
      <c r="BE75" s="155"/>
    </row>
    <row r="76" spans="3:61" x14ac:dyDescent="0.55000000000000004">
      <c r="F76" s="16"/>
      <c r="H76" s="9" t="s">
        <v>154</v>
      </c>
      <c r="I76" s="12">
        <f ca="1">IF(OR('Scenario Setup'!H8=TRUE,'Scenario Setup'!H9=TRUE),'Scenario Setup'!H6,I78-I77)</f>
        <v>2.9798333890444226</v>
      </c>
      <c r="V76" s="120" t="s">
        <v>608</v>
      </c>
      <c r="W76" s="16">
        <f>V63*1000*V72/W75</f>
        <v>30.764989588636592</v>
      </c>
      <c r="X76" t="s">
        <v>609</v>
      </c>
      <c r="AK76" s="26"/>
      <c r="AM76" t="s">
        <v>607</v>
      </c>
      <c r="AN76" s="16">
        <f>AQ73-AX60</f>
        <v>2559.9100593836001</v>
      </c>
      <c r="BD76" s="9" t="s">
        <v>155</v>
      </c>
      <c r="BE76" s="21">
        <f>BE78*1000/1.98681859956987</f>
        <v>0</v>
      </c>
    </row>
    <row r="77" spans="3:61" x14ac:dyDescent="0.55000000000000004">
      <c r="H77" s="9" t="s">
        <v>156</v>
      </c>
      <c r="I77" s="12">
        <f>E63*H60*1000/(I73-N64)*3.6</f>
        <v>42.855059278186737</v>
      </c>
      <c r="O77" s="35"/>
      <c r="V77" t="s">
        <v>606</v>
      </c>
      <c r="W77" s="16">
        <f>Z78/3.6-W76</f>
        <v>1.212134022474519</v>
      </c>
      <c r="X77" t="s">
        <v>609</v>
      </c>
      <c r="AI77" t="s">
        <v>611</v>
      </c>
      <c r="AM77" s="120" t="s">
        <v>608</v>
      </c>
      <c r="AN77" s="16">
        <f>AM64*1000*AM73/AN76</f>
        <v>26.833885198396548</v>
      </c>
      <c r="AO77" t="s">
        <v>609</v>
      </c>
      <c r="BD77" s="9" t="s">
        <v>157</v>
      </c>
      <c r="BE77" s="21">
        <v>1.95</v>
      </c>
    </row>
    <row r="78" spans="3:61" x14ac:dyDescent="0.55000000000000004">
      <c r="F78" s="16"/>
      <c r="H78" s="9" t="s">
        <v>454</v>
      </c>
      <c r="I78" s="12">
        <f ca="1">IFERROR(P94+AA91-Z78-AQ78,45)</f>
        <v>45.834892667231159</v>
      </c>
      <c r="J78" s="35" t="s">
        <v>456</v>
      </c>
      <c r="V78" t="s">
        <v>610</v>
      </c>
      <c r="W78" s="25">
        <f>W77*W75/1000</f>
        <v>3.1908831565530775</v>
      </c>
      <c r="X78" t="s">
        <v>84</v>
      </c>
      <c r="Y78" s="9" t="s">
        <v>13</v>
      </c>
      <c r="Z78" s="52">
        <f>'Scenario Setup'!C19</f>
        <v>115.117645</v>
      </c>
      <c r="AB78" t="s">
        <v>158</v>
      </c>
      <c r="AE78" s="16"/>
      <c r="AI78">
        <f>AQ78/3.6*(AQ73-AX60)/1000-AM64*AM73</f>
        <v>12.813316416471125</v>
      </c>
      <c r="AM78" t="s">
        <v>606</v>
      </c>
      <c r="AN78" s="16">
        <f>AQ78/3.6-AN77</f>
        <v>5.0053775793812285</v>
      </c>
      <c r="AO78" t="s">
        <v>609</v>
      </c>
      <c r="AP78" s="9" t="s">
        <v>13</v>
      </c>
      <c r="AQ78" s="50">
        <f>'Scenario Setup'!C18</f>
        <v>114.621346</v>
      </c>
      <c r="AS78" t="s">
        <v>159</v>
      </c>
      <c r="BD78" s="9" t="s">
        <v>13</v>
      </c>
      <c r="BE78" s="9">
        <v>0</v>
      </c>
    </row>
    <row r="79" spans="3:61" x14ac:dyDescent="0.55000000000000004">
      <c r="C79" s="144" t="s">
        <v>160</v>
      </c>
      <c r="D79" s="146"/>
      <c r="H79" s="9" t="s">
        <v>455</v>
      </c>
      <c r="I79" s="12">
        <f ca="1">I76+I77</f>
        <v>45.834892667231159</v>
      </c>
      <c r="J79" s="35" t="s">
        <v>457</v>
      </c>
      <c r="AI79">
        <f>AI78/AP56</f>
        <v>17.084421888628167</v>
      </c>
      <c r="AM79" t="s">
        <v>610</v>
      </c>
      <c r="AN79" s="25">
        <f>AN78*AN76/1000/AP56</f>
        <v>17.084421888628189</v>
      </c>
      <c r="AO79" t="s">
        <v>84</v>
      </c>
      <c r="BD79" s="9" t="s">
        <v>139</v>
      </c>
      <c r="BE79" s="9">
        <v>40</v>
      </c>
    </row>
    <row r="80" spans="3:61" x14ac:dyDescent="0.55000000000000004">
      <c r="C80" s="9" t="s">
        <v>4</v>
      </c>
      <c r="D80" s="9">
        <v>400</v>
      </c>
      <c r="AW80" t="s">
        <v>161</v>
      </c>
      <c r="AX80">
        <f ca="1">I79+Z78+AQ78</f>
        <v>275.57388366723114</v>
      </c>
      <c r="BD80" s="9" t="s">
        <v>27</v>
      </c>
      <c r="BE80" s="9">
        <f>(BI90-BE53)/BI73</f>
        <v>0</v>
      </c>
    </row>
    <row r="81" spans="3:72" x14ac:dyDescent="0.55000000000000004">
      <c r="C81" s="9" t="s">
        <v>50</v>
      </c>
      <c r="D81" s="48">
        <v>45</v>
      </c>
      <c r="AW81" t="s">
        <v>162</v>
      </c>
      <c r="AX81">
        <f ca="1">N84+AS84+U93+AA91</f>
        <v>275.57388366723114</v>
      </c>
      <c r="BD81" s="9" t="s">
        <v>143</v>
      </c>
      <c r="BE81" s="9">
        <f>BE80/1000*3600</f>
        <v>0</v>
      </c>
    </row>
    <row r="82" spans="3:72" x14ac:dyDescent="0.55000000000000004">
      <c r="C82" s="9" t="s">
        <v>151</v>
      </c>
      <c r="D82" s="9">
        <f ca="1">(I78/3.6*I73+Z78/3.6*Z73+AQ78/3.6*AQ73)/((I78+Z78+AQ78)/3.6)</f>
        <v>3205.6476778196388</v>
      </c>
      <c r="BD82" s="9" t="s">
        <v>163</v>
      </c>
      <c r="BE82" s="9" cm="1">
        <f t="array" ref="BE82">(BE78*1000)/[1]!PropsSI("D","P",1*100000,"T",15+273.15,"methane")</f>
        <v>0</v>
      </c>
      <c r="BL82" s="154" t="s">
        <v>147</v>
      </c>
      <c r="BM82" s="155"/>
    </row>
    <row r="83" spans="3:72" x14ac:dyDescent="0.55000000000000004">
      <c r="I83" s="16"/>
      <c r="M83" s="147" t="s">
        <v>453</v>
      </c>
      <c r="N83" s="147"/>
      <c r="T83" t="s">
        <v>477</v>
      </c>
      <c r="AG83" s="25">
        <f>AD73-AI65-AG96</f>
        <v>0.16694721163872916</v>
      </c>
      <c r="AH83" t="s">
        <v>84</v>
      </c>
      <c r="AJ83" t="s">
        <v>166</v>
      </c>
      <c r="AR83" s="154" t="s">
        <v>164</v>
      </c>
      <c r="AS83" s="155"/>
      <c r="BL83" s="9" t="s">
        <v>13</v>
      </c>
      <c r="BM83" s="9">
        <f>BL91*BM84</f>
        <v>0</v>
      </c>
    </row>
    <row r="84" spans="3:72" x14ac:dyDescent="0.55000000000000004">
      <c r="J84" s="16"/>
      <c r="M84" s="9" t="s">
        <v>13</v>
      </c>
      <c r="N84" s="53">
        <f ca="1">IFERROR(H107+J127,200)</f>
        <v>248.81388366723115</v>
      </c>
      <c r="AR84" s="9" t="s">
        <v>13</v>
      </c>
      <c r="AS84" s="20">
        <v>0</v>
      </c>
      <c r="BL84" s="9" t="s">
        <v>94</v>
      </c>
      <c r="BM84" s="14">
        <v>0.02</v>
      </c>
    </row>
    <row r="85" spans="3:72" x14ac:dyDescent="0.55000000000000004">
      <c r="AE85" s="154" t="s">
        <v>172</v>
      </c>
      <c r="AF85" s="155"/>
      <c r="AK85" s="154" t="s">
        <v>173</v>
      </c>
      <c r="AL85" s="155"/>
      <c r="BH85" s="154" t="s">
        <v>146</v>
      </c>
      <c r="BI85" s="155"/>
      <c r="BL85" s="9" t="s">
        <v>66</v>
      </c>
      <c r="BM85" s="9" cm="1">
        <f t="array" ref="BM85">(BM83/3.6)/[1]!PropsSI("D","P",BI88*100000,"Q",0,"water")*60*1000</f>
        <v>0</v>
      </c>
    </row>
    <row r="86" spans="3:72" x14ac:dyDescent="0.55000000000000004">
      <c r="P86" s="16"/>
      <c r="T86" t="s">
        <v>383</v>
      </c>
      <c r="Z86" s="147" t="s">
        <v>165</v>
      </c>
      <c r="AA86" s="147"/>
      <c r="AB86" s="147"/>
      <c r="AE86" s="9" t="s">
        <v>4</v>
      </c>
      <c r="AF86" s="9" cm="1">
        <f t="array" ref="AF86">[1]!PropsSI("T","H",AF87*1000,"P",D16*100000,"water")-273.15</f>
        <v>47.331769524131175</v>
      </c>
      <c r="AK86" s="9" t="s">
        <v>4</v>
      </c>
      <c r="AL86" s="9">
        <v>30</v>
      </c>
      <c r="AP86" s="154" t="s">
        <v>117</v>
      </c>
      <c r="AQ86" s="155"/>
      <c r="AT86" s="7" t="s">
        <v>167</v>
      </c>
      <c r="BH86" s="9" t="s">
        <v>4</v>
      </c>
      <c r="BI86" s="20">
        <v>250</v>
      </c>
      <c r="BL86" s="9" t="s">
        <v>27</v>
      </c>
      <c r="BM86" s="9" cm="1">
        <f t="array" ref="BM86">[1]!PropsSI("H","P",BI88*100000,"Q",0,"water")/1000*(BM83/3.6)/1000</f>
        <v>0</v>
      </c>
    </row>
    <row r="87" spans="3:72" x14ac:dyDescent="0.55000000000000004">
      <c r="T87" t="s">
        <v>382</v>
      </c>
      <c r="U87" s="16">
        <f ca="1">E63+V63+AM64+V70+AM71+IF(E71&gt;0,E71,0)</f>
        <v>272.84557137386764</v>
      </c>
      <c r="V87" t="s">
        <v>84</v>
      </c>
      <c r="Z87" s="9" t="s">
        <v>168</v>
      </c>
      <c r="AA87" s="9" t="s">
        <v>169</v>
      </c>
      <c r="AB87" s="9" t="s">
        <v>362</v>
      </c>
      <c r="AE87" s="9" t="s">
        <v>17</v>
      </c>
      <c r="AF87" s="9">
        <f>AF88*1000/(AL89/3.6)</f>
        <v>198.56549492814705</v>
      </c>
      <c r="AK87" s="9" t="s">
        <v>17</v>
      </c>
      <c r="AL87" s="9" cm="1">
        <f t="array" ref="AL87">[1]!PropsSI("H","T",AL86+273.15,"P",D16*100000,"water")/1000</f>
        <v>126.14046318376853</v>
      </c>
      <c r="AP87" s="9" t="s">
        <v>13</v>
      </c>
      <c r="AQ87" s="9">
        <f ca="1">IFERROR((AS84/3.6*AO95-(AS84/3.6*D82))/(L47-AV89)*3.6,0)</f>
        <v>0</v>
      </c>
      <c r="AU87" s="154" t="s">
        <v>171</v>
      </c>
      <c r="AV87" s="155"/>
      <c r="BH87" s="9" t="s">
        <v>148</v>
      </c>
      <c r="BI87" s="9" cm="1">
        <f t="array" ref="BI87">[1]!PropsSI("T","P",BI88*100000,"Q",0,"water")-273.15</f>
        <v>221.7889283870968</v>
      </c>
    </row>
    <row r="88" spans="3:72" x14ac:dyDescent="0.55000000000000004">
      <c r="T88" t="s">
        <v>384</v>
      </c>
      <c r="U88" s="16">
        <f ca="1">I79/3.6*(I73-L47)/1000+Z78/3.6*(Z73-AC47)/1000+AQ78/3.6*(AQ73-AX60)/1000</f>
        <v>198.38550455723959</v>
      </c>
      <c r="V88" t="s">
        <v>84</v>
      </c>
      <c r="Z88" s="9" t="s">
        <v>359</v>
      </c>
      <c r="AA88" s="71">
        <v>5</v>
      </c>
      <c r="AB88" s="9">
        <v>0</v>
      </c>
      <c r="AE88" s="9" t="s">
        <v>27</v>
      </c>
      <c r="AF88" s="9">
        <f>AL90+AG83</f>
        <v>0.45771406525467501</v>
      </c>
      <c r="AK88" s="9" t="s">
        <v>66</v>
      </c>
      <c r="AL88" s="9">
        <v>500</v>
      </c>
      <c r="AP88" s="9" t="s">
        <v>27</v>
      </c>
      <c r="AQ88" s="9">
        <f ca="1">AQ87/3.6*L47/1000</f>
        <v>0</v>
      </c>
      <c r="AU88" s="9" t="s">
        <v>4</v>
      </c>
      <c r="AV88" s="9">
        <v>250</v>
      </c>
      <c r="BH88" s="9" t="s">
        <v>50</v>
      </c>
      <c r="BI88" s="20">
        <v>24</v>
      </c>
    </row>
    <row r="89" spans="3:72" x14ac:dyDescent="0.55000000000000004">
      <c r="M89" s="147" t="s">
        <v>510</v>
      </c>
      <c r="N89" s="147"/>
      <c r="O89" s="147"/>
      <c r="P89" s="147"/>
      <c r="T89" t="s">
        <v>385</v>
      </c>
      <c r="U89" s="4">
        <f ca="1">U88/U87</f>
        <v>0.72709812938616891</v>
      </c>
      <c r="Z89" s="9" t="s">
        <v>360</v>
      </c>
      <c r="AA89" s="12">
        <f>IF(AQ78&gt;0,'Steam Demand Data'!C28,0)</f>
        <v>8.9499999999999993</v>
      </c>
      <c r="AB89" s="9">
        <f>'Steam Demand Data'!C28*'Steam Demand Data'!D28</f>
        <v>0</v>
      </c>
      <c r="AK89" s="9" t="s">
        <v>13</v>
      </c>
      <c r="AL89" s="9" cm="1">
        <f t="array" ref="AL89">AL88/1000/60*[1]!PropsSI("D","T",AL86+273.15,"P",AI73*100000,"water")</f>
        <v>8.2983734687292614</v>
      </c>
      <c r="AU89" s="9" t="s">
        <v>151</v>
      </c>
      <c r="AV89" s="9" cm="1">
        <f t="array" ref="AV89">[1]!PropsSI("H","T",AV88+273.15,"P",AO94*100000,"water")/1000</f>
        <v>2885.5067970342789</v>
      </c>
      <c r="BH89" s="9" t="s">
        <v>151</v>
      </c>
      <c r="BI89" s="9" cm="1">
        <f t="array" ref="BI89">[1]!PropsSI("H","T",BI86+273.15,"P",BI88*100000,"water")/1000</f>
        <v>2885.5067970342789</v>
      </c>
    </row>
    <row r="90" spans="3:72" x14ac:dyDescent="0.55000000000000004">
      <c r="M90" s="9" t="s">
        <v>174</v>
      </c>
      <c r="N90" s="9"/>
      <c r="O90" s="9"/>
      <c r="P90" s="9">
        <v>500</v>
      </c>
      <c r="Z90" s="9" t="s">
        <v>361</v>
      </c>
      <c r="AA90" s="12">
        <f>'Steam Demand Data'!C27</f>
        <v>12.81</v>
      </c>
      <c r="AB90" s="9">
        <f>'Steam Demand Data'!D27*'Steam Demand Data'!C27</f>
        <v>0</v>
      </c>
      <c r="AK90" s="9" t="s">
        <v>27</v>
      </c>
      <c r="AL90" s="9">
        <f>AL89/3.6*AL87/1000</f>
        <v>0.29076685361594584</v>
      </c>
      <c r="AU90" s="9" t="s">
        <v>13</v>
      </c>
      <c r="AV90" s="9">
        <f ca="1">AQ87+AS84</f>
        <v>0</v>
      </c>
      <c r="BH90" s="9" t="s">
        <v>27</v>
      </c>
      <c r="BI90" s="9">
        <f>BL91/3.6*BI89/1000</f>
        <v>0</v>
      </c>
    </row>
    <row r="91" spans="3:72" x14ac:dyDescent="0.55000000000000004">
      <c r="M91" s="9" t="s">
        <v>363</v>
      </c>
      <c r="N91" s="9"/>
      <c r="O91" s="9"/>
      <c r="P91" s="16">
        <f ca="1">P92+P93+AA91</f>
        <v>275.57388366723114</v>
      </c>
      <c r="Z91" s="19" t="s">
        <v>216</v>
      </c>
      <c r="AA91" s="51">
        <f>SUM(AA88:AA90)</f>
        <v>26.759999999999998</v>
      </c>
      <c r="AB91" s="9"/>
      <c r="AU91" s="9" t="s">
        <v>27</v>
      </c>
      <c r="AV91" s="9">
        <f ca="1">AQ88+AS84/3.6*D82/1000</f>
        <v>0</v>
      </c>
      <c r="BK91" t="s">
        <v>13</v>
      </c>
      <c r="BL91">
        <v>0</v>
      </c>
    </row>
    <row r="92" spans="3:72" x14ac:dyDescent="0.55000000000000004">
      <c r="M92" s="9" t="s">
        <v>175</v>
      </c>
      <c r="N92" s="9"/>
      <c r="O92" s="9"/>
      <c r="P92" s="12">
        <f ca="1">H117-F111</f>
        <v>98.813883667231153</v>
      </c>
      <c r="T92" s="154" t="s">
        <v>177</v>
      </c>
      <c r="U92" s="155"/>
      <c r="AF92" s="154" t="s">
        <v>180</v>
      </c>
      <c r="AG92" s="155"/>
      <c r="AN92" s="159" t="s">
        <v>178</v>
      </c>
      <c r="AO92" s="159"/>
    </row>
    <row r="93" spans="3:72" x14ac:dyDescent="0.55000000000000004">
      <c r="I93" s="16"/>
      <c r="M93" s="9" t="s">
        <v>176</v>
      </c>
      <c r="N93" s="9"/>
      <c r="O93" s="9"/>
      <c r="P93" s="9">
        <f ca="1">J127</f>
        <v>150</v>
      </c>
      <c r="T93" s="9" t="s">
        <v>13</v>
      </c>
      <c r="U93" s="9"/>
      <c r="AF93" s="9" t="s">
        <v>4</v>
      </c>
      <c r="AG93" s="9">
        <f>AL86+10</f>
        <v>40</v>
      </c>
      <c r="AN93" s="9" t="s">
        <v>4</v>
      </c>
      <c r="AO93" s="9" t="e" cm="1">
        <f t="array" aca="1" ref="AO93" ca="1">[1]!PropsSI("T","H",AO95*1000,"P",AO94*100000,"water")-273.15</f>
        <v>#VALUE!</v>
      </c>
      <c r="BS93" t="s">
        <v>161</v>
      </c>
      <c r="BT93">
        <f ca="1">BL91+AV90</f>
        <v>0</v>
      </c>
    </row>
    <row r="94" spans="3:72" x14ac:dyDescent="0.55000000000000004">
      <c r="M94" s="9" t="s">
        <v>179</v>
      </c>
      <c r="N94" s="9"/>
      <c r="O94" s="9"/>
      <c r="P94" s="12">
        <f ca="1">P92+P93</f>
        <v>248.81388366723115</v>
      </c>
      <c r="AF94" s="9" t="s">
        <v>151</v>
      </c>
      <c r="AG94" s="9" cm="1">
        <f t="array" ref="AG94">[1]!PropsSI("H","T",AG93+273.15,"P",AI73*100000,"water")/1000</f>
        <v>167.92524725441621</v>
      </c>
      <c r="AN94" s="9" t="s">
        <v>50</v>
      </c>
      <c r="AO94" s="20">
        <f>BI88</f>
        <v>24</v>
      </c>
      <c r="BS94" t="s">
        <v>162</v>
      </c>
      <c r="BT94" t="e">
        <f>BJ101+AQ103</f>
        <v>#N/A</v>
      </c>
    </row>
    <row r="95" spans="3:72" x14ac:dyDescent="0.55000000000000004">
      <c r="R95" s="16"/>
      <c r="Y95" s="147" t="s">
        <v>453</v>
      </c>
      <c r="Z95" s="147"/>
      <c r="AF95" s="9" t="s">
        <v>13</v>
      </c>
      <c r="AG95" s="9">
        <f>AD70-AI63</f>
        <v>1.3202815869715034</v>
      </c>
      <c r="AN95" s="9" t="s">
        <v>151</v>
      </c>
      <c r="AO95" s="9" t="e">
        <f ca="1">(AV91+BI90)*1000/(BT93/3.6)</f>
        <v>#DIV/0!</v>
      </c>
    </row>
    <row r="96" spans="3:72" x14ac:dyDescent="0.55000000000000004">
      <c r="Y96" s="9" t="s">
        <v>13</v>
      </c>
      <c r="Z96" s="53">
        <f>IF('Scenario Setup'!H9=TRUE,I79-I78,0)</f>
        <v>0</v>
      </c>
      <c r="AF96" s="9" t="s">
        <v>27</v>
      </c>
      <c r="AG96" s="9">
        <f>AG95/3.6*AG94/1000</f>
        <v>6.158572553823409E-2</v>
      </c>
    </row>
    <row r="97" spans="5:75" x14ac:dyDescent="0.55000000000000004">
      <c r="AB97" s="16"/>
    </row>
    <row r="98" spans="5:75" x14ac:dyDescent="0.55000000000000004">
      <c r="AB98" s="16"/>
    </row>
    <row r="99" spans="5:75" x14ac:dyDescent="0.55000000000000004">
      <c r="BI99" s="147" t="s">
        <v>181</v>
      </c>
      <c r="BJ99" s="147"/>
      <c r="BK99" s="147"/>
      <c r="BR99" s="154" t="s">
        <v>479</v>
      </c>
      <c r="BS99" s="155"/>
    </row>
    <row r="100" spans="5:75" x14ac:dyDescent="0.55000000000000004">
      <c r="Q100" s="9" t="s">
        <v>389</v>
      </c>
      <c r="R100" s="9" t="s">
        <v>390</v>
      </c>
      <c r="BI100" s="9" t="s">
        <v>168</v>
      </c>
      <c r="BJ100" s="9" t="s">
        <v>169</v>
      </c>
      <c r="BK100" s="9" t="s">
        <v>170</v>
      </c>
      <c r="BR100" s="9" t="s">
        <v>4</v>
      </c>
      <c r="BS100" s="9">
        <f>D80</f>
        <v>400</v>
      </c>
    </row>
    <row r="101" spans="5:75" x14ac:dyDescent="0.55000000000000004">
      <c r="O101" s="156" t="s">
        <v>182</v>
      </c>
      <c r="P101" s="157"/>
      <c r="Q101" s="12">
        <f ca="1">CC116</f>
        <v>34.772840203619204</v>
      </c>
      <c r="R101" s="52">
        <f>'Scenario Setup'!C21</f>
        <v>17.861968999999998</v>
      </c>
      <c r="Z101" s="16" t="e">
        <f>AI108/Z96</f>
        <v>#DIV/0!</v>
      </c>
      <c r="BI101" s="9" t="s">
        <v>183</v>
      </c>
      <c r="BJ101" s="9" t="e">
        <f>'Steam Demand Data'!I47</f>
        <v>#N/A</v>
      </c>
      <c r="BK101" s="9"/>
      <c r="BR101" s="9" t="s">
        <v>151</v>
      </c>
      <c r="BS101" s="9" cm="1">
        <f t="array" ref="BS101">[1]!PropsSI("H","T",BS100+273.15,"P",D81*100000,"water")/1000</f>
        <v>3205.6476778196393</v>
      </c>
    </row>
    <row r="102" spans="5:75" x14ac:dyDescent="0.55000000000000004">
      <c r="AP102" s="154" t="s">
        <v>184</v>
      </c>
      <c r="AQ102" s="155"/>
      <c r="BR102" s="9" t="s">
        <v>13</v>
      </c>
      <c r="BS102" s="22">
        <f ca="1">(BW107/3.6*(BW108-BO137))/(BS101-BS115)*3.6</f>
        <v>8.958467024147652E-12</v>
      </c>
    </row>
    <row r="103" spans="5:75" x14ac:dyDescent="0.55000000000000004">
      <c r="AP103" s="9" t="s">
        <v>13</v>
      </c>
      <c r="AQ103" s="9">
        <v>0</v>
      </c>
      <c r="BR103" s="9" t="s">
        <v>27</v>
      </c>
      <c r="BS103" s="9">
        <f ca="1">BS102/3.6*BS101/1000</f>
        <v>7.9771358368840939E-12</v>
      </c>
      <c r="BV103" s="147" t="s">
        <v>199</v>
      </c>
      <c r="BW103" s="147"/>
    </row>
    <row r="104" spans="5:75" x14ac:dyDescent="0.55000000000000004">
      <c r="R104" s="154" t="s">
        <v>117</v>
      </c>
      <c r="S104" s="155"/>
      <c r="AA104" s="16"/>
      <c r="BV104" s="9" t="s">
        <v>4</v>
      </c>
      <c r="BW104" s="12">
        <f>IF('Scenario Setup'!H4=TRUE, 'Scenario Setup'!H5,BO133)</f>
        <v>262.62206301363642</v>
      </c>
    </row>
    <row r="105" spans="5:75" x14ac:dyDescent="0.55000000000000004">
      <c r="G105" s="154" t="s">
        <v>186</v>
      </c>
      <c r="H105" s="155"/>
      <c r="R105" s="9" t="s">
        <v>13</v>
      </c>
      <c r="S105" s="9"/>
      <c r="BV105" s="9" t="s">
        <v>148</v>
      </c>
      <c r="BW105" s="12">
        <f>BO134</f>
        <v>189.80936611614334</v>
      </c>
    </row>
    <row r="106" spans="5:75" x14ac:dyDescent="0.55000000000000004">
      <c r="G106" s="9" t="s">
        <v>4</v>
      </c>
      <c r="H106" s="12">
        <f>BO133</f>
        <v>262.62206301363642</v>
      </c>
      <c r="R106" s="9" t="s">
        <v>27</v>
      </c>
      <c r="S106" s="9">
        <f>S105/3.6*L47/1000</f>
        <v>0</v>
      </c>
      <c r="BR106" t="s">
        <v>481</v>
      </c>
      <c r="BT106" s="25">
        <f ca="1">BS103-BS117</f>
        <v>4.6990559591601287E-12</v>
      </c>
      <c r="BU106" t="s">
        <v>84</v>
      </c>
      <c r="BV106" s="9" t="s">
        <v>50</v>
      </c>
      <c r="BW106" s="12">
        <f>BO135</f>
        <v>12.5</v>
      </c>
    </row>
    <row r="107" spans="5:75" x14ac:dyDescent="0.55000000000000004">
      <c r="G107" s="9" t="s">
        <v>13</v>
      </c>
      <c r="H107" s="12">
        <f ca="1">H117-F111+O117</f>
        <v>98.813883667231153</v>
      </c>
      <c r="V107" s="7" t="s">
        <v>185</v>
      </c>
      <c r="AI107" s="9" t="s">
        <v>389</v>
      </c>
      <c r="AJ107" s="9" t="s">
        <v>458</v>
      </c>
      <c r="BP107" s="25"/>
      <c r="BV107" s="9" t="s">
        <v>13</v>
      </c>
      <c r="BW107" s="12">
        <f ca="1">BW131</f>
        <v>150</v>
      </c>
    </row>
    <row r="108" spans="5:75" x14ac:dyDescent="0.55000000000000004">
      <c r="G108" s="9" t="s">
        <v>27</v>
      </c>
      <c r="H108" s="12">
        <f ca="1">BO139</f>
        <v>228.75529975451397</v>
      </c>
      <c r="L108" s="147" t="s">
        <v>187</v>
      </c>
      <c r="M108" s="147"/>
      <c r="N108" s="147"/>
      <c r="O108" s="147"/>
      <c r="AG108" s="156" t="s">
        <v>182</v>
      </c>
      <c r="AH108" s="157"/>
      <c r="AI108" s="12">
        <f>BP155</f>
        <v>0</v>
      </c>
      <c r="AJ108" s="12">
        <f>AI108-Z96/3.6*(BI118-BO137)/1000</f>
        <v>0</v>
      </c>
      <c r="BV108" s="9" t="s">
        <v>151</v>
      </c>
      <c r="BW108" s="12" cm="1">
        <f t="array" ref="BW108">[1]!PropsSI("H","P",BW106*100000,"T",BW104+273.15,"water")/1000</f>
        <v>2962.2988457420206</v>
      </c>
    </row>
    <row r="109" spans="5:75" x14ac:dyDescent="0.55000000000000004">
      <c r="L109" s="9" t="s">
        <v>188</v>
      </c>
      <c r="M109" s="9"/>
      <c r="N109" s="9"/>
      <c r="O109" s="9">
        <v>150</v>
      </c>
      <c r="AJ109" s="35" t="s">
        <v>459</v>
      </c>
      <c r="AN109" s="154" t="s">
        <v>117</v>
      </c>
      <c r="AO109" s="155"/>
      <c r="AR109" s="7" t="s">
        <v>189</v>
      </c>
      <c r="BV109" s="9" t="s">
        <v>196</v>
      </c>
      <c r="BW109" s="12" cm="1">
        <f t="array" ref="BW109">[1]!PropsSI("S","P",BW106*100000,"T",BW104+273.15,"water")/1000</f>
        <v>6.8636917024118018</v>
      </c>
    </row>
    <row r="110" spans="5:75" x14ac:dyDescent="0.55000000000000004">
      <c r="E110" s="154" t="s">
        <v>117</v>
      </c>
      <c r="F110" s="155"/>
      <c r="L110" s="9" t="s">
        <v>190</v>
      </c>
      <c r="M110" s="9"/>
      <c r="N110" s="9"/>
      <c r="O110" s="12">
        <f ca="1">J136</f>
        <v>164.96159604573722</v>
      </c>
      <c r="AI110" s="2"/>
      <c r="AN110" s="9" t="s">
        <v>13</v>
      </c>
      <c r="AO110" s="9">
        <f ca="1">IFERROR((AQ103/3.6*D123-(AQ103/3.6*AO95))/(L47-AQ115)*3.6,0)</f>
        <v>0</v>
      </c>
      <c r="BV110" s="9" t="s">
        <v>27</v>
      </c>
      <c r="BW110" s="9">
        <f ca="1">BW107/3.6*BW108/1000</f>
        <v>123.42911857258417</v>
      </c>
    </row>
    <row r="111" spans="5:75" x14ac:dyDescent="0.55000000000000004">
      <c r="E111" s="9" t="s">
        <v>13</v>
      </c>
      <c r="F111" s="12">
        <f ca="1">H117*(H116-BO137)/(L47-BO137)</f>
        <v>7.4377123785060677</v>
      </c>
      <c r="L111" s="9" t="s">
        <v>191</v>
      </c>
      <c r="M111" s="9"/>
      <c r="N111" s="9"/>
      <c r="O111" s="12">
        <f ca="1">IF(O110&lt;O109,0,O110-O109)</f>
        <v>14.961596045737224</v>
      </c>
      <c r="S111" s="154" t="s">
        <v>171</v>
      </c>
      <c r="T111" s="155"/>
      <c r="AN111" s="9" t="s">
        <v>27</v>
      </c>
      <c r="AO111" s="9">
        <f ca="1">AO110/3.6*L47/1000</f>
        <v>0</v>
      </c>
      <c r="BH111" s="31" t="s">
        <v>444</v>
      </c>
    </row>
    <row r="112" spans="5:75" x14ac:dyDescent="0.55000000000000004">
      <c r="E112" s="9" t="s">
        <v>27</v>
      </c>
      <c r="F112" s="12">
        <f ca="1">F111/3.6*L47/1000</f>
        <v>1.3164110202140527</v>
      </c>
      <c r="S112" s="9" t="s">
        <v>4</v>
      </c>
      <c r="T112" s="57">
        <f>D121</f>
        <v>195</v>
      </c>
    </row>
    <row r="113" spans="3:95" x14ac:dyDescent="0.55000000000000004">
      <c r="S113" s="9" t="s">
        <v>151</v>
      </c>
      <c r="T113" s="9" cm="1">
        <f t="array" ref="T113">[1]!PropsSI("H","T",T112+273.15,"P",D122*100000,"water")/1000</f>
        <v>2799.5375530682995</v>
      </c>
      <c r="AP113" s="154" t="s">
        <v>192</v>
      </c>
      <c r="AQ113" s="155"/>
      <c r="BH113" s="147" t="s">
        <v>193</v>
      </c>
      <c r="BI113" s="147"/>
      <c r="BR113" s="154" t="s">
        <v>479</v>
      </c>
      <c r="BS113" s="155"/>
    </row>
    <row r="114" spans="3:95" x14ac:dyDescent="0.55000000000000004">
      <c r="G114" s="154" t="s">
        <v>194</v>
      </c>
      <c r="H114" s="155"/>
      <c r="S114" s="9" t="s">
        <v>13</v>
      </c>
      <c r="T114" s="9">
        <f>S105+U93</f>
        <v>0</v>
      </c>
      <c r="AP114" s="9" t="s">
        <v>4</v>
      </c>
      <c r="AQ114" s="20">
        <v>195</v>
      </c>
      <c r="BH114" s="9" t="s">
        <v>4</v>
      </c>
      <c r="BI114" s="9">
        <v>400</v>
      </c>
      <c r="BR114" s="9" t="s">
        <v>4</v>
      </c>
      <c r="BS114" s="22" cm="1">
        <f t="array" ref="BS114">[1]!PropsSI("T","Q",0,"P",'Scenario Setup'!H6*100000,"water")-273.15</f>
        <v>295.007726895578</v>
      </c>
      <c r="BT114" s="35" t="s">
        <v>480</v>
      </c>
    </row>
    <row r="115" spans="3:95" x14ac:dyDescent="0.55000000000000004">
      <c r="G115" s="9" t="s">
        <v>4</v>
      </c>
      <c r="H115" s="57">
        <f>D121</f>
        <v>195</v>
      </c>
      <c r="R115" s="16"/>
      <c r="S115" s="9" t="s">
        <v>27</v>
      </c>
      <c r="T115" s="9">
        <f>T114/3.6*T113/1000</f>
        <v>0</v>
      </c>
      <c r="AP115" s="9" t="s">
        <v>151</v>
      </c>
      <c r="AQ115" s="9" cm="1">
        <f t="array" ref="AQ115">[1]!PropsSI("H","T",AQ114+273.15,"P",D122*100000,"water")/1000</f>
        <v>2799.5375530682995</v>
      </c>
      <c r="BH115" s="9" t="s">
        <v>148</v>
      </c>
      <c r="BI115" s="12" cm="1">
        <f t="array" ref="BI115">[1]!PropsSI("T","P",BI116*100000,"Q",1,"water")-273.15</f>
        <v>257.43663545633387</v>
      </c>
      <c r="BR115" s="9" t="s">
        <v>151</v>
      </c>
      <c r="BS115" s="22" cm="1">
        <f t="array" ref="BS115">[1]!PropsSI("H","Q",0,"P",'Scenario Setup'!H6*100000,"water")/1000</f>
        <v>1317.3110452933861</v>
      </c>
    </row>
    <row r="116" spans="3:95" x14ac:dyDescent="0.55000000000000004">
      <c r="G116" s="9" t="s">
        <v>151</v>
      </c>
      <c r="H116" s="12" cm="1">
        <f t="array" ref="H116">[1]!PropsSI("H","T",H115+273.15,"P",D122*100000,"water")/1000</f>
        <v>2799.5375530682995</v>
      </c>
      <c r="N116" s="154" t="s">
        <v>509</v>
      </c>
      <c r="O116" s="155"/>
      <c r="AP116" s="9" t="s">
        <v>13</v>
      </c>
      <c r="AQ116" s="9">
        <f ca="1">AO110+AQ103</f>
        <v>0</v>
      </c>
      <c r="BH116" s="9" t="s">
        <v>50</v>
      </c>
      <c r="BI116" s="9">
        <v>45</v>
      </c>
      <c r="BR116" s="9" t="s">
        <v>13</v>
      </c>
      <c r="BS116" s="22">
        <f ca="1">BS102</f>
        <v>8.958467024147652E-12</v>
      </c>
      <c r="CA116" s="19" t="s">
        <v>195</v>
      </c>
      <c r="CB116" s="9"/>
      <c r="CC116" s="9">
        <f ca="1">BP119+CA119</f>
        <v>34.772840203619204</v>
      </c>
    </row>
    <row r="117" spans="3:95" x14ac:dyDescent="0.55000000000000004">
      <c r="G117" s="9" t="s">
        <v>13</v>
      </c>
      <c r="H117" s="12">
        <f ca="1">P126+AA134</f>
        <v>106.25159604573722</v>
      </c>
      <c r="N117" s="9" t="s">
        <v>13</v>
      </c>
      <c r="O117" s="12">
        <f>IF('Scenario Setup'!H8=TRUE,I79-I78,0)</f>
        <v>0</v>
      </c>
      <c r="AP117" s="9" t="s">
        <v>27</v>
      </c>
      <c r="AQ117" s="9" t="e">
        <f ca="1">AO111+AQ103/3.6*AO95/1000</f>
        <v>#DIV/0!</v>
      </c>
      <c r="BH117" s="9" t="s">
        <v>13</v>
      </c>
      <c r="BI117" s="12">
        <v>428</v>
      </c>
      <c r="BR117" s="9" t="s">
        <v>27</v>
      </c>
      <c r="BS117" s="22">
        <f ca="1">BS116/3.6*BS115/1000</f>
        <v>3.2780798777239648E-12</v>
      </c>
    </row>
    <row r="118" spans="3:95" x14ac:dyDescent="0.55000000000000004">
      <c r="G118" s="9" t="s">
        <v>27</v>
      </c>
      <c r="H118" s="12">
        <f ca="1">H117/3.6*H116/1000</f>
        <v>82.626481445412381</v>
      </c>
      <c r="N118" s="9" t="s">
        <v>27</v>
      </c>
      <c r="O118" s="12">
        <f>O117/3.6*BO137/1000</f>
        <v>0</v>
      </c>
      <c r="BH118" s="9" t="s">
        <v>151</v>
      </c>
      <c r="BI118" s="12" cm="1">
        <f t="array" ref="BI118">[1]!PropsSI("H","P",BI116*100000,"T",BI114+273.15,"water")/1000</f>
        <v>3205.6476778196393</v>
      </c>
      <c r="CD118" s="31" t="s">
        <v>742</v>
      </c>
      <c r="CL118" s="31" t="s">
        <v>743</v>
      </c>
    </row>
    <row r="119" spans="3:95" x14ac:dyDescent="0.55000000000000004">
      <c r="BH119" s="9" t="s">
        <v>196</v>
      </c>
      <c r="BI119" s="12" cm="1">
        <f t="array" ref="BI119">[1]!PropsSI("S","P",BI116*100000,"T",BI114+273.15,"water")/1000</f>
        <v>6.7070450176058172</v>
      </c>
      <c r="BO119" s="19" t="s">
        <v>197</v>
      </c>
      <c r="BP119" s="22">
        <f>BI117/3.6*(BI118-BO137)/1000</f>
        <v>28.931472258130295</v>
      </c>
      <c r="BZ119" s="19" t="s">
        <v>197</v>
      </c>
      <c r="CA119" s="9">
        <f ca="1">BW107/3.6*(BW108-BW132)/1000</f>
        <v>5.8413679454889111</v>
      </c>
    </row>
    <row r="120" spans="3:95" x14ac:dyDescent="0.55000000000000004">
      <c r="C120" s="159" t="s">
        <v>198</v>
      </c>
      <c r="D120" s="159"/>
      <c r="AW120" t="s">
        <v>161</v>
      </c>
      <c r="AX120">
        <f ca="1">H117+AQ116+T114</f>
        <v>106.25159604573722</v>
      </c>
      <c r="CD120" t="s">
        <v>732</v>
      </c>
    </row>
    <row r="121" spans="3:95" x14ac:dyDescent="0.55000000000000004">
      <c r="C121" s="9" t="s">
        <v>4</v>
      </c>
      <c r="D121" s="57">
        <v>195</v>
      </c>
      <c r="AW121" t="s">
        <v>162</v>
      </c>
      <c r="AX121">
        <f ca="1">P126+SUM(AA128:AA133)</f>
        <v>106.25159604573722</v>
      </c>
      <c r="CD121" t="s">
        <v>733</v>
      </c>
      <c r="CE121">
        <v>67.611184195134413</v>
      </c>
      <c r="CF121" t="s">
        <v>738</v>
      </c>
      <c r="CK121" t="s">
        <v>747</v>
      </c>
      <c r="CO121" t="s">
        <v>748</v>
      </c>
    </row>
    <row r="122" spans="3:95" x14ac:dyDescent="0.55000000000000004">
      <c r="C122" s="9" t="s">
        <v>50</v>
      </c>
      <c r="D122" s="57">
        <v>12.5</v>
      </c>
      <c r="CD122" t="s">
        <v>734</v>
      </c>
      <c r="CE122">
        <v>1.0000477021290421</v>
      </c>
      <c r="CF122" t="s">
        <v>729</v>
      </c>
      <c r="CK122" t="s">
        <v>733</v>
      </c>
      <c r="CL122">
        <v>50</v>
      </c>
      <c r="CM122" t="s">
        <v>738</v>
      </c>
      <c r="CO122" t="s">
        <v>733</v>
      </c>
      <c r="CP122">
        <v>50</v>
      </c>
      <c r="CQ122" t="s">
        <v>738</v>
      </c>
    </row>
    <row r="123" spans="3:95" x14ac:dyDescent="0.55000000000000004">
      <c r="C123" s="9" t="s">
        <v>151</v>
      </c>
      <c r="D123" s="12" cm="1">
        <f t="array" ref="D123">[1]!PropsSI("H","T",D121+273.15,"P",D122*100000,"water")/1000</f>
        <v>2799.5375530682995</v>
      </c>
      <c r="CD123" t="s">
        <v>733</v>
      </c>
      <c r="CE123">
        <f>CE144/CD144</f>
        <v>4.3802789773991666</v>
      </c>
      <c r="CF123" t="s">
        <v>741</v>
      </c>
      <c r="CK123" t="s">
        <v>734</v>
      </c>
      <c r="CL123">
        <v>2000</v>
      </c>
      <c r="CM123" t="s">
        <v>729</v>
      </c>
      <c r="CO123" t="s">
        <v>734</v>
      </c>
      <c r="CP123">
        <v>2000</v>
      </c>
      <c r="CQ123" t="s">
        <v>729</v>
      </c>
    </row>
    <row r="124" spans="3:95" x14ac:dyDescent="0.55000000000000004">
      <c r="G124" s="16"/>
      <c r="BK124" t="s">
        <v>200</v>
      </c>
      <c r="BL124" s="4">
        <v>0.75</v>
      </c>
      <c r="BV124" t="s">
        <v>200</v>
      </c>
      <c r="BW124" s="4">
        <v>0.65</v>
      </c>
      <c r="BX124" s="35" t="s">
        <v>482</v>
      </c>
      <c r="CK124" t="s">
        <v>733</v>
      </c>
      <c r="CL124">
        <f>CL145/CK145</f>
        <v>15.432098765432096</v>
      </c>
      <c r="CM124" t="s">
        <v>741</v>
      </c>
      <c r="CO124" t="s">
        <v>733</v>
      </c>
      <c r="CP124" t="e">
        <f>CP145/CO145</f>
        <v>#DIV/0!</v>
      </c>
      <c r="CQ124" t="s">
        <v>741</v>
      </c>
    </row>
    <row r="125" spans="3:95" x14ac:dyDescent="0.55000000000000004">
      <c r="I125" s="154" t="s">
        <v>201</v>
      </c>
      <c r="J125" s="155"/>
      <c r="O125" s="154" t="s">
        <v>202</v>
      </c>
      <c r="P125" s="155"/>
      <c r="AI125" s="154" t="s">
        <v>445</v>
      </c>
      <c r="AJ125" s="155"/>
      <c r="CC125" t="s">
        <v>730</v>
      </c>
      <c r="CF125" t="s">
        <v>731</v>
      </c>
      <c r="CK125" t="s">
        <v>744</v>
      </c>
      <c r="CL125" s="15">
        <v>1E-3</v>
      </c>
      <c r="CO125" t="s">
        <v>744</v>
      </c>
      <c r="CP125" s="15">
        <v>1E-3</v>
      </c>
    </row>
    <row r="126" spans="3:95" x14ac:dyDescent="0.55000000000000004">
      <c r="I126" s="9" t="s">
        <v>4</v>
      </c>
      <c r="J126" s="12">
        <f>BW128</f>
        <v>183.02900600155846</v>
      </c>
      <c r="O126" s="9" t="s">
        <v>13</v>
      </c>
      <c r="P126" s="12">
        <f ca="1">IF(AA171&gt;O109,AA171-O109,0)</f>
        <v>14.961596045737224</v>
      </c>
      <c r="Z126" s="147" t="s">
        <v>203</v>
      </c>
      <c r="AA126" s="147"/>
      <c r="AB126" s="147"/>
      <c r="AI126" s="9" t="s">
        <v>4</v>
      </c>
      <c r="AJ126" s="13">
        <v>25</v>
      </c>
      <c r="CC126" t="s">
        <v>726</v>
      </c>
      <c r="CD126">
        <v>400</v>
      </c>
      <c r="CF126" t="s">
        <v>727</v>
      </c>
      <c r="CG126" s="12" cm="1">
        <f t="array" ref="CG126">[1]!PropsSI("H","P",CD127*100000,"T",CD126+273.15,"water")/1000</f>
        <v>3205.6476778196393</v>
      </c>
    </row>
    <row r="127" spans="3:95" x14ac:dyDescent="0.55000000000000004">
      <c r="I127" s="9" t="s">
        <v>13</v>
      </c>
      <c r="J127" s="12">
        <f ca="1">MIN(AA171,O109)</f>
        <v>150</v>
      </c>
      <c r="O127" s="9" t="s">
        <v>27</v>
      </c>
      <c r="P127" s="12">
        <f ca="1">P126/3.6*D123/1000</f>
        <v>11.634874995522091</v>
      </c>
      <c r="Z127" s="9" t="s">
        <v>168</v>
      </c>
      <c r="AA127" s="9" t="s">
        <v>169</v>
      </c>
      <c r="AB127" s="9" t="s">
        <v>362</v>
      </c>
      <c r="AI127" s="9" t="s">
        <v>17</v>
      </c>
      <c r="AJ127" s="12" cm="1">
        <f t="array" ref="AJ127">[1]!PropsSI("H","T",AJ126+273.15,"P",Q7*100000,"water")/1000</f>
        <v>105.24295527412764</v>
      </c>
      <c r="BV127" s="147" t="s">
        <v>204</v>
      </c>
      <c r="BW127" s="147"/>
      <c r="CC127" t="s">
        <v>721</v>
      </c>
      <c r="CD127">
        <v>45</v>
      </c>
      <c r="CF127" t="s">
        <v>725</v>
      </c>
      <c r="CG127" cm="1">
        <f t="array" ref="CG127">[1]!PropsSI("S","P",CD127*100000,"T",CD126+273.15,"water")/1000</f>
        <v>6.7070450176058172</v>
      </c>
      <c r="CO127" t="s">
        <v>749</v>
      </c>
    </row>
    <row r="128" spans="3:95" x14ac:dyDescent="0.55000000000000004">
      <c r="I128" s="9" t="s">
        <v>27</v>
      </c>
      <c r="J128" s="12">
        <f ca="1">J127/3.6*BW132/1000</f>
        <v>117.58775062709528</v>
      </c>
      <c r="Z128" s="9" t="s">
        <v>338</v>
      </c>
      <c r="AA128" s="12">
        <f>'Steam Demand Data'!O50</f>
        <v>25.75</v>
      </c>
      <c r="AB128" s="12">
        <f>'Steam Demand Data'!P50</f>
        <v>21.29</v>
      </c>
      <c r="AI128" s="9" t="s">
        <v>66</v>
      </c>
      <c r="AJ128" s="12" cm="1">
        <f t="array" ref="AJ128">(AJ129/3.6)/[1]!PropsSI("D","P",Q7*100000,"T",AJ126+273.15,"water")*60*1000</f>
        <v>0</v>
      </c>
      <c r="BM128" s="16"/>
      <c r="BV128" s="9" t="s">
        <v>4</v>
      </c>
      <c r="BW128" s="12" cm="1">
        <f t="array" ref="BW128">[1]!PropsSI("T","P",BW130*100000,"H",BW132*1000,"water")-273.15</f>
        <v>183.02900600155846</v>
      </c>
      <c r="CC128" t="s">
        <v>87</v>
      </c>
      <c r="CD128">
        <v>12.5</v>
      </c>
      <c r="CF128" t="s">
        <v>723</v>
      </c>
      <c r="CG128" cm="1">
        <f t="array" ref="CG128">[1]!PropsSI("H","P",CD128*100000,"S",CG127*1000,"water")/1000</f>
        <v>2881.1825683826642</v>
      </c>
      <c r="CO128" t="s">
        <v>750</v>
      </c>
    </row>
    <row r="129" spans="5:93" x14ac:dyDescent="0.55000000000000004">
      <c r="E129" s="16"/>
      <c r="R129" s="6" t="s">
        <v>205</v>
      </c>
      <c r="Z129" s="9" t="s">
        <v>339</v>
      </c>
      <c r="AA129" s="12">
        <f>'Steam Demand Data'!O52</f>
        <v>10.41</v>
      </c>
      <c r="AB129" s="12">
        <f>'Steam Demand Data'!P52</f>
        <v>0</v>
      </c>
      <c r="AI129" s="9" t="s">
        <v>13</v>
      </c>
      <c r="AJ129" s="12">
        <f>(AF137-AL137)*1000/(AI142-AJ127)*3.6</f>
        <v>0</v>
      </c>
      <c r="BV129" s="9" t="s">
        <v>148</v>
      </c>
      <c r="BW129" s="12" cm="1">
        <f t="array" ref="BW129">[1]!PropsSI("T","P",BW130*100000,"Q",1,"water")-273.15</f>
        <v>147.90339916177226</v>
      </c>
      <c r="CC129" t="s">
        <v>722</v>
      </c>
      <c r="CD129">
        <v>0.75</v>
      </c>
      <c r="CF129" t="s">
        <v>724</v>
      </c>
      <c r="CG129">
        <f>-(CD129*(CG126-CG128)-CG126)</f>
        <v>2962.2988457419078</v>
      </c>
      <c r="CO129" t="s">
        <v>751</v>
      </c>
    </row>
    <row r="130" spans="5:93" x14ac:dyDescent="0.55000000000000004">
      <c r="X130" s="8"/>
      <c r="Z130" s="9" t="s">
        <v>206</v>
      </c>
      <c r="AA130" s="12">
        <f>'Steam Demand Data'!O48</f>
        <v>33.85</v>
      </c>
      <c r="AB130" s="12">
        <f>'Steam Demand Data'!P48</f>
        <v>28.772500000000001</v>
      </c>
      <c r="AI130" s="9" t="s">
        <v>27</v>
      </c>
      <c r="AJ130" s="12">
        <f>AJ129/3.6*AJ127/1000</f>
        <v>0</v>
      </c>
      <c r="BT130" s="16"/>
      <c r="BV130" s="9" t="s">
        <v>50</v>
      </c>
      <c r="BW130" s="12">
        <f>450/100</f>
        <v>4.5</v>
      </c>
      <c r="CF130" t="s">
        <v>728</v>
      </c>
      <c r="CG130" s="16">
        <f>CG126-CG129</f>
        <v>243.34883207773146</v>
      </c>
    </row>
    <row r="131" spans="5:93" x14ac:dyDescent="0.55000000000000004">
      <c r="Z131" s="9" t="s">
        <v>223</v>
      </c>
      <c r="AA131" s="12"/>
      <c r="AB131" s="12"/>
      <c r="BS131" s="16"/>
      <c r="BT131">
        <f>50.5*(BW108-BW132)/3.6/1000</f>
        <v>1.9665938749812673</v>
      </c>
      <c r="BV131" s="9" t="s">
        <v>13</v>
      </c>
      <c r="BW131" s="12">
        <f ca="1">J127</f>
        <v>150</v>
      </c>
      <c r="CB131" s="2"/>
    </row>
    <row r="132" spans="5:93" x14ac:dyDescent="0.55000000000000004">
      <c r="Z132" s="9" t="s">
        <v>304</v>
      </c>
      <c r="AA132" s="12"/>
      <c r="AB132" s="12"/>
      <c r="AK132" s="154" t="s">
        <v>447</v>
      </c>
      <c r="AL132" s="155"/>
      <c r="BN132" s="147" t="s">
        <v>210</v>
      </c>
      <c r="BO132" s="147"/>
      <c r="BV132" s="9" t="s">
        <v>211</v>
      </c>
      <c r="BW132" s="12">
        <f>-(BW124*(BW108-BW133)-BW108)</f>
        <v>2822.1060150502867</v>
      </c>
      <c r="BX132" t="s">
        <v>212</v>
      </c>
      <c r="CC132" t="s">
        <v>718</v>
      </c>
      <c r="CD132" t="s">
        <v>739</v>
      </c>
      <c r="CE132" t="s">
        <v>735</v>
      </c>
      <c r="CF132" t="s">
        <v>736</v>
      </c>
    </row>
    <row r="133" spans="5:93" x14ac:dyDescent="0.55000000000000004">
      <c r="Z133" s="9" t="s">
        <v>305</v>
      </c>
      <c r="AA133" s="12">
        <f>'Steam Demand Data'!O27+'Steam Demand Data'!O28+IF(AQ78&gt;0,'Steam Demand Data'!O29+'Steam Demand Data'!O30,0)</f>
        <v>21.279999999999998</v>
      </c>
      <c r="AB133" s="12">
        <f>'Steam Demand Data'!O27*'Steam Demand Data'!P27+'Steam Demand Data'!O28*'Steam Demand Data'!P28+IF(AQ78&gt;0,'Steam Demand Data'!O29*'Steam Demand Data'!P29+'Steam Demand Data'!O30*'Steam Demand Data'!P30,0)</f>
        <v>19.079999999999998</v>
      </c>
      <c r="AK133" s="9" t="s">
        <v>4</v>
      </c>
      <c r="AL133" s="12" cm="1">
        <f t="array" ref="AL133">[1]!PropsSI("T","Q",0,"P",BO171*100000,"water")-273.15</f>
        <v>45.806328923937826</v>
      </c>
      <c r="BN133" s="9" t="s">
        <v>4</v>
      </c>
      <c r="BO133" s="12" cm="1">
        <f t="array" ref="BO133">[1]!PropsSI("T","P",BO135*100000,"H",BO137*1000,"water")-273.15</f>
        <v>262.62206301363642</v>
      </c>
      <c r="BV133" s="9" t="s">
        <v>214</v>
      </c>
      <c r="BW133" s="12" cm="1">
        <f t="array" ref="BW133">[1]!PropsSI("H","P",BW130*100000,"S",BW109*1000,"water")/1000</f>
        <v>2746.6175677547376</v>
      </c>
      <c r="CC133" t="s">
        <v>719</v>
      </c>
      <c r="CD133" t="s">
        <v>740</v>
      </c>
      <c r="CE133" t="s">
        <v>729</v>
      </c>
      <c r="CF133" t="s">
        <v>729</v>
      </c>
      <c r="CG133" t="s">
        <v>737</v>
      </c>
      <c r="CK133" t="s">
        <v>718</v>
      </c>
      <c r="CL133" t="s">
        <v>739</v>
      </c>
      <c r="CM133" t="s">
        <v>720</v>
      </c>
      <c r="CN133" t="s">
        <v>745</v>
      </c>
      <c r="CO133" t="s">
        <v>746</v>
      </c>
    </row>
    <row r="134" spans="5:93" x14ac:dyDescent="0.55000000000000004">
      <c r="I134" s="154" t="s">
        <v>215</v>
      </c>
      <c r="J134" s="155"/>
      <c r="Z134" s="19" t="s">
        <v>216</v>
      </c>
      <c r="AA134" s="51">
        <f>SUM(AA128:AA133)</f>
        <v>91.289999999999992</v>
      </c>
      <c r="AB134" s="51">
        <f>SUM(AB128:AB133)</f>
        <v>69.142499999999998</v>
      </c>
      <c r="AE134" s="154" t="s">
        <v>446</v>
      </c>
      <c r="AF134" s="155"/>
      <c r="AI134" s="16">
        <f>AI145-AJ130</f>
        <v>0</v>
      </c>
      <c r="AK134" s="9" t="s">
        <v>17</v>
      </c>
      <c r="AL134" s="12" cm="1">
        <f t="array" ref="AL134">[1]!PropsSI("H","Q",0,"P",BO171*100000,"water")/1000</f>
        <v>191.80594455942554</v>
      </c>
      <c r="BN134" s="9" t="s">
        <v>148</v>
      </c>
      <c r="BO134" s="12" cm="1">
        <f t="array" ref="BO134">[1]!PropsSI("T","P",BO135*100000,"Q",1,"water")-273.15</f>
        <v>189.80936611614334</v>
      </c>
      <c r="BR134" s="25">
        <f>21/3.6*(BW108-BW132)/1000</f>
        <v>0.81779151236844771</v>
      </c>
      <c r="BV134" s="9" t="s">
        <v>27</v>
      </c>
      <c r="BW134" s="12">
        <f ca="1">BW131/3.6*BW132/1000</f>
        <v>117.58775062709528</v>
      </c>
      <c r="CB134" s="2"/>
      <c r="CC134">
        <v>0</v>
      </c>
      <c r="CD134">
        <f t="shared" ref="CD134:CD143" si="0">(CC134/3.6*1000/18)</f>
        <v>0</v>
      </c>
      <c r="CE134">
        <f t="shared" ref="CE134:CE144" si="1">CC134/3.6*$CG$130</f>
        <v>0</v>
      </c>
      <c r="CF134">
        <f>$CE$121*CE134-$CE$122</f>
        <v>-1.0000477021290421</v>
      </c>
      <c r="CK134" t="s">
        <v>719</v>
      </c>
      <c r="CL134" t="s">
        <v>740</v>
      </c>
      <c r="CM134" t="s">
        <v>729</v>
      </c>
      <c r="CN134" t="s">
        <v>729</v>
      </c>
    </row>
    <row r="135" spans="5:93" x14ac:dyDescent="0.55000000000000004">
      <c r="I135" s="9" t="s">
        <v>4</v>
      </c>
      <c r="J135" s="12" cm="1">
        <f t="array" aca="1" ref="J135" ca="1">[1]!PropsSI("T","H",J137*1000,"P",D154*100000,"water")-273.15</f>
        <v>182.08220099192658</v>
      </c>
      <c r="AE135" s="9" t="s">
        <v>4</v>
      </c>
      <c r="AF135" s="12">
        <f>BO169</f>
        <v>45.806328923937826</v>
      </c>
      <c r="AK135" s="9" t="s">
        <v>66</v>
      </c>
      <c r="AL135" s="12" cm="1">
        <f t="array" ref="AL135">(AL136/3.6)/[1]!PropsSI("D","P",1*100000,"T",AL133+273.15,"water")*60*1000</f>
        <v>0</v>
      </c>
      <c r="BN135" s="9" t="s">
        <v>50</v>
      </c>
      <c r="BO135" s="12">
        <f>D122</f>
        <v>12.5</v>
      </c>
      <c r="CC135">
        <v>10</v>
      </c>
      <c r="CD135">
        <f t="shared" si="0"/>
        <v>154.32098765432099</v>
      </c>
      <c r="CE135">
        <f t="shared" si="1"/>
        <v>675.96897799369845</v>
      </c>
      <c r="CF135">
        <f t="shared" ref="CF135:CF144" si="2">$CE$121*CC135-$CE$122</f>
        <v>675.11179424921511</v>
      </c>
      <c r="CG135">
        <f>(CE135-CF135)^2</f>
        <v>0.73476397180647368</v>
      </c>
      <c r="CK135">
        <v>0</v>
      </c>
      <c r="CL135">
        <f t="shared" ref="CL135:CL144" si="3">(CK135/3.6*1000/18)</f>
        <v>0</v>
      </c>
      <c r="CM135">
        <f t="shared" ref="CM135:CM145" si="4">$CL$122*CK135-$CL$123</f>
        <v>-2000</v>
      </c>
      <c r="CN135" s="138">
        <f>0.5*( CM135 + SQRT(CM135^2 + $CL$125^2) )</f>
        <v>1.2494183465605602E-10</v>
      </c>
    </row>
    <row r="136" spans="5:93" x14ac:dyDescent="0.55000000000000004">
      <c r="I136" s="9" t="s">
        <v>13</v>
      </c>
      <c r="J136" s="12">
        <f ca="1">P126+J127</f>
        <v>164.96159604573722</v>
      </c>
      <c r="X136" s="156" t="s">
        <v>182</v>
      </c>
      <c r="Y136" s="157"/>
      <c r="Z136" s="12">
        <f ca="1">BQ187</f>
        <v>0</v>
      </c>
      <c r="AE136" s="9" t="s">
        <v>13</v>
      </c>
      <c r="AF136" s="12">
        <f>BO172</f>
        <v>0</v>
      </c>
      <c r="AK136" s="9" t="s">
        <v>13</v>
      </c>
      <c r="AL136" s="12">
        <f>AF136</f>
        <v>0</v>
      </c>
      <c r="BN136" s="9" t="s">
        <v>13</v>
      </c>
      <c r="BO136" s="12">
        <f ca="1">BI117-BW107</f>
        <v>278</v>
      </c>
      <c r="CC136">
        <v>20</v>
      </c>
      <c r="CD136">
        <f t="shared" si="0"/>
        <v>308.64197530864197</v>
      </c>
      <c r="CE136">
        <f t="shared" si="1"/>
        <v>1351.9379559873969</v>
      </c>
      <c r="CF136">
        <f t="shared" si="2"/>
        <v>1351.2236362005592</v>
      </c>
      <c r="CG136">
        <f t="shared" ref="CG136:CG144" si="5">(CE136-CF136)^2</f>
        <v>0.51025275786782487</v>
      </c>
      <c r="CK136">
        <v>10</v>
      </c>
      <c r="CL136">
        <f t="shared" si="3"/>
        <v>154.32098765432099</v>
      </c>
      <c r="CM136">
        <f t="shared" si="4"/>
        <v>-1500</v>
      </c>
      <c r="CN136" s="138">
        <f t="shared" ref="CN136:CN153" si="6">0.5*( CM136 + SQRT(CM136^2 + $CL$125^2) )</f>
        <v>1.666649040998891E-10</v>
      </c>
    </row>
    <row r="137" spans="5:93" x14ac:dyDescent="0.55000000000000004">
      <c r="I137" s="9" t="s">
        <v>151</v>
      </c>
      <c r="J137" s="12">
        <f ca="1">J138*1000/(J136/3.6)</f>
        <v>2820.0591131067913</v>
      </c>
      <c r="AE137" s="9" t="s">
        <v>27</v>
      </c>
      <c r="AF137" s="12">
        <f>BO175</f>
        <v>0</v>
      </c>
      <c r="AK137" s="9" t="s">
        <v>27</v>
      </c>
      <c r="AL137" s="12">
        <f>AL136/3.6*AL134/1000</f>
        <v>0</v>
      </c>
      <c r="BN137" s="9" t="s">
        <v>211</v>
      </c>
      <c r="BO137" s="12">
        <f>-(BL124*(BI118-BO138)-BI118)</f>
        <v>2962.2988457419078</v>
      </c>
      <c r="BP137" t="s">
        <v>212</v>
      </c>
      <c r="BX137" s="16">
        <f>BW128+273</f>
        <v>456.02900600155846</v>
      </c>
      <c r="CC137">
        <v>30</v>
      </c>
      <c r="CD137">
        <f t="shared" si="0"/>
        <v>462.96296296296299</v>
      </c>
      <c r="CE137">
        <f t="shared" si="1"/>
        <v>2027.9069339810956</v>
      </c>
      <c r="CF137">
        <f t="shared" si="2"/>
        <v>2027.3354781519033</v>
      </c>
      <c r="CG137">
        <f t="shared" si="5"/>
        <v>0.32656176471779719</v>
      </c>
      <c r="CK137">
        <v>20</v>
      </c>
      <c r="CL137">
        <f t="shared" si="3"/>
        <v>308.64197530864197</v>
      </c>
      <c r="CM137">
        <f t="shared" si="4"/>
        <v>-1000</v>
      </c>
      <c r="CN137" s="138">
        <f t="shared" si="6"/>
        <v>2.4999735614983365E-10</v>
      </c>
    </row>
    <row r="138" spans="5:93" x14ac:dyDescent="0.55000000000000004">
      <c r="I138" s="9" t="s">
        <v>27</v>
      </c>
      <c r="J138" s="12">
        <f ca="1">J128+P127</f>
        <v>129.22262562261736</v>
      </c>
      <c r="AA138" s="16"/>
      <c r="AY138" s="91"/>
      <c r="BN138" s="9" t="s">
        <v>214</v>
      </c>
      <c r="BO138" s="12" cm="1">
        <f t="array" ref="BO138">[1]!PropsSI("H","P",BO135*100000,"S",BI119*1000,"water")/1000</f>
        <v>2881.1825683826642</v>
      </c>
      <c r="CC138">
        <v>40</v>
      </c>
      <c r="CD138">
        <f t="shared" si="0"/>
        <v>617.28395061728395</v>
      </c>
      <c r="CE138">
        <f t="shared" si="1"/>
        <v>2703.8759119747938</v>
      </c>
      <c r="CF138">
        <f t="shared" si="2"/>
        <v>2703.4473201032474</v>
      </c>
      <c r="CG138">
        <f t="shared" si="5"/>
        <v>0.18369099235561109</v>
      </c>
      <c r="CK138">
        <v>30</v>
      </c>
      <c r="CL138">
        <f t="shared" si="3"/>
        <v>462.96296296296299</v>
      </c>
      <c r="CM138">
        <f t="shared" si="4"/>
        <v>-500</v>
      </c>
      <c r="CN138" s="138">
        <f t="shared" si="6"/>
        <v>4.999947122996673E-10</v>
      </c>
    </row>
    <row r="139" spans="5:93" x14ac:dyDescent="0.55000000000000004">
      <c r="BN139" s="9" t="s">
        <v>27</v>
      </c>
      <c r="BO139" s="12">
        <f ca="1">BO136/3.6*BO137/1000</f>
        <v>228.75529975451397</v>
      </c>
      <c r="CC139">
        <v>50</v>
      </c>
      <c r="CD139">
        <f t="shared" si="0"/>
        <v>771.60493827160496</v>
      </c>
      <c r="CE139">
        <f t="shared" si="1"/>
        <v>3379.8448899684927</v>
      </c>
      <c r="CF139">
        <f t="shared" si="2"/>
        <v>3379.5591620545915</v>
      </c>
      <c r="CG139">
        <f t="shared" si="5"/>
        <v>8.1640440782305992E-2</v>
      </c>
      <c r="CK139">
        <v>32</v>
      </c>
      <c r="CL139">
        <f t="shared" si="3"/>
        <v>493.82716049382714</v>
      </c>
      <c r="CM139">
        <f t="shared" si="4"/>
        <v>-400</v>
      </c>
      <c r="CN139" s="138">
        <f t="shared" si="6"/>
        <v>6.2499339037458412E-10</v>
      </c>
    </row>
    <row r="140" spans="5:93" x14ac:dyDescent="0.55000000000000004">
      <c r="AH140" s="154" t="s">
        <v>445</v>
      </c>
      <c r="AI140" s="155"/>
      <c r="AK140" s="35" t="s">
        <v>603</v>
      </c>
      <c r="BV140">
        <f>62.5*3.6</f>
        <v>225</v>
      </c>
      <c r="CC140">
        <v>60</v>
      </c>
      <c r="CD140">
        <f t="shared" si="0"/>
        <v>925.92592592592598</v>
      </c>
      <c r="CE140">
        <f t="shared" si="1"/>
        <v>4055.8138679621911</v>
      </c>
      <c r="CF140">
        <f t="shared" si="2"/>
        <v>4055.6710040059356</v>
      </c>
      <c r="CG140">
        <f t="shared" si="5"/>
        <v>2.0410109996972362E-2</v>
      </c>
      <c r="CI140" s="82"/>
      <c r="CK140">
        <v>34</v>
      </c>
      <c r="CL140">
        <f t="shared" si="3"/>
        <v>524.69135802469145</v>
      </c>
      <c r="CM140">
        <f t="shared" si="4"/>
        <v>-300</v>
      </c>
      <c r="CN140" s="138">
        <f t="shared" si="6"/>
        <v>8.333245204994455E-10</v>
      </c>
    </row>
    <row r="141" spans="5:93" x14ac:dyDescent="0.55000000000000004">
      <c r="G141" s="147" t="s">
        <v>117</v>
      </c>
      <c r="H141" s="147"/>
      <c r="AA141" s="16"/>
      <c r="AC141" s="16"/>
      <c r="AH141" s="9" t="s">
        <v>4</v>
      </c>
      <c r="AI141" s="13">
        <v>40</v>
      </c>
      <c r="BK141" s="16"/>
      <c r="BR141">
        <f>62.5*3.6</f>
        <v>225</v>
      </c>
      <c r="BT141">
        <f>118.89*3.6</f>
        <v>428.00400000000002</v>
      </c>
      <c r="CC141">
        <v>70</v>
      </c>
      <c r="CD141">
        <f t="shared" si="0"/>
        <v>1080.2469135802467</v>
      </c>
      <c r="CE141">
        <f t="shared" si="1"/>
        <v>4731.7828459558887</v>
      </c>
      <c r="CF141">
        <f t="shared" si="2"/>
        <v>4731.7828459572793</v>
      </c>
      <c r="CG141">
        <f t="shared" si="5"/>
        <v>1.9338167504315828E-18</v>
      </c>
      <c r="CK141">
        <v>36</v>
      </c>
      <c r="CL141">
        <f t="shared" si="3"/>
        <v>555.55555555555554</v>
      </c>
      <c r="CM141">
        <f t="shared" si="4"/>
        <v>-200</v>
      </c>
      <c r="CN141" s="138">
        <f t="shared" si="6"/>
        <v>1.2500009916038834E-9</v>
      </c>
    </row>
    <row r="142" spans="5:93" x14ac:dyDescent="0.55000000000000004">
      <c r="G142" s="9" t="s">
        <v>13</v>
      </c>
      <c r="H142" s="12">
        <f ca="1">J136*(J147-J137)/(L47-J137)</f>
        <v>2.832946135756786</v>
      </c>
      <c r="M142" t="s">
        <v>358</v>
      </c>
      <c r="AH142" s="9" t="s">
        <v>17</v>
      </c>
      <c r="AI142" s="22" cm="1">
        <f t="array" ref="AI142">[1]!PropsSI("H","T",AI141+273.15,"P",Q7*100000,"water")/1000</f>
        <v>167.92524725441621</v>
      </c>
      <c r="CC142">
        <v>80</v>
      </c>
      <c r="CD142">
        <f t="shared" si="0"/>
        <v>1234.5679012345679</v>
      </c>
      <c r="CE142">
        <f t="shared" si="1"/>
        <v>5407.7518239495876</v>
      </c>
      <c r="CF142">
        <f t="shared" si="2"/>
        <v>5407.8946879086234</v>
      </c>
      <c r="CG142">
        <f t="shared" si="5"/>
        <v>2.0410110791388915E-2</v>
      </c>
      <c r="CK142">
        <v>38</v>
      </c>
      <c r="CL142">
        <f t="shared" si="3"/>
        <v>586.41975308641975</v>
      </c>
      <c r="CM142">
        <f t="shared" si="4"/>
        <v>-100</v>
      </c>
      <c r="CN142" s="138">
        <f t="shared" si="6"/>
        <v>2.5000019832077669E-9</v>
      </c>
    </row>
    <row r="143" spans="5:93" x14ac:dyDescent="0.55000000000000004">
      <c r="G143" s="9" t="s">
        <v>27</v>
      </c>
      <c r="H143" s="12">
        <f ca="1">H142/3.6*L47/1000</f>
        <v>0.50140706214457242</v>
      </c>
      <c r="AB143" s="25"/>
      <c r="AH143" s="9" t="s">
        <v>66</v>
      </c>
      <c r="AI143" s="12" cm="1">
        <f t="array" ref="AI143">(AI144/3.6)/[1]!PropsSI("D","P",Q7*100000,"T",AI141+273.15,"water")*60*1000</f>
        <v>0</v>
      </c>
      <c r="CC143">
        <v>90</v>
      </c>
      <c r="CD143">
        <f t="shared" si="0"/>
        <v>1388.8888888888889</v>
      </c>
      <c r="CE143">
        <f t="shared" si="1"/>
        <v>6083.7208019432865</v>
      </c>
      <c r="CF143">
        <f t="shared" si="2"/>
        <v>6084.0065298599675</v>
      </c>
      <c r="CG143">
        <f t="shared" si="5"/>
        <v>8.1640442370879238E-2</v>
      </c>
      <c r="CK143">
        <v>40</v>
      </c>
      <c r="CL143">
        <f t="shared" si="3"/>
        <v>617.28395061728395</v>
      </c>
      <c r="CM143">
        <f t="shared" si="4"/>
        <v>0</v>
      </c>
      <c r="CN143" s="138">
        <f t="shared" si="6"/>
        <v>5.0000000000000001E-4</v>
      </c>
    </row>
    <row r="144" spans="5:93" x14ac:dyDescent="0.55000000000000004">
      <c r="O144" s="147" t="s">
        <v>431</v>
      </c>
      <c r="P144" s="147"/>
      <c r="AH144" s="9" t="s">
        <v>13</v>
      </c>
      <c r="AI144" s="12">
        <f>AJ129</f>
        <v>0</v>
      </c>
      <c r="BT144">
        <f>62*3.6</f>
        <v>223.20000000000002</v>
      </c>
      <c r="CC144">
        <v>100</v>
      </c>
      <c r="CD144">
        <f>(CC144/3.6*1000/18)</f>
        <v>1543.2098765432099</v>
      </c>
      <c r="CE144">
        <f t="shared" si="1"/>
        <v>6759.6897799369854</v>
      </c>
      <c r="CF144">
        <f t="shared" si="2"/>
        <v>6760.1183718113116</v>
      </c>
      <c r="CG144">
        <f t="shared" si="5"/>
        <v>0.18369099473847095</v>
      </c>
      <c r="CK144">
        <v>42</v>
      </c>
      <c r="CL144">
        <f t="shared" si="3"/>
        <v>648.14814814814815</v>
      </c>
      <c r="CM144">
        <f t="shared" si="4"/>
        <v>100</v>
      </c>
      <c r="CN144" s="138">
        <f t="shared" si="6"/>
        <v>100.0000000025</v>
      </c>
    </row>
    <row r="145" spans="3:92" x14ac:dyDescent="0.55000000000000004">
      <c r="I145" s="154" t="s">
        <v>217</v>
      </c>
      <c r="J145" s="155"/>
      <c r="O145" s="9" t="s">
        <v>13</v>
      </c>
      <c r="P145" s="12">
        <f ca="1">J148+V146-AA171</f>
        <v>3.2394292237852937</v>
      </c>
      <c r="U145" s="158" t="s">
        <v>218</v>
      </c>
      <c r="V145" s="158"/>
      <c r="AA145" s="16"/>
      <c r="AH145" s="9" t="s">
        <v>27</v>
      </c>
      <c r="AI145" s="12">
        <f>AI144/3.6*AI142/1000</f>
        <v>0</v>
      </c>
      <c r="CG145">
        <f>SUM(CG135:CG144)</f>
        <v>2.1430615854277244</v>
      </c>
      <c r="CK145">
        <v>44</v>
      </c>
      <c r="CL145">
        <f>(CK145/3.6*1000/18)</f>
        <v>679.01234567901224</v>
      </c>
      <c r="CM145">
        <f t="shared" si="4"/>
        <v>200</v>
      </c>
      <c r="CN145" s="138">
        <f t="shared" si="6"/>
        <v>200.00000000124999</v>
      </c>
    </row>
    <row r="146" spans="3:92" x14ac:dyDescent="0.55000000000000004">
      <c r="I146" s="9" t="s">
        <v>4</v>
      </c>
      <c r="J146" s="57">
        <f ca="1">D153</f>
        <v>165</v>
      </c>
      <c r="O146" s="9" t="s">
        <v>27</v>
      </c>
      <c r="P146" s="12">
        <f ca="1">P145/3.6*D155/1000</f>
        <v>2.5043561468445383</v>
      </c>
      <c r="U146" s="9" t="s">
        <v>13</v>
      </c>
      <c r="V146" s="12">
        <f>IFERROR(AI63,0)</f>
        <v>0.40648308802849636</v>
      </c>
      <c r="Z146" s="16"/>
      <c r="AB146" s="25"/>
      <c r="CK146">
        <v>46</v>
      </c>
      <c r="CL146">
        <f t="shared" ref="CL146:CL153" si="7">(CK146/3.6*1000/18)</f>
        <v>709.87654320987656</v>
      </c>
      <c r="CM146">
        <f t="shared" ref="CM146:CM153" si="8">$CL$122*CK146-$CL$123</f>
        <v>300</v>
      </c>
      <c r="CN146" s="138">
        <f t="shared" si="6"/>
        <v>300.00000000083332</v>
      </c>
    </row>
    <row r="147" spans="3:92" x14ac:dyDescent="0.55000000000000004">
      <c r="I147" s="9" t="s">
        <v>151</v>
      </c>
      <c r="J147" s="12" cm="1">
        <f t="array" aca="1" ref="J147" ca="1">[1]!PropsSI("H","T",J146+273.15,"P",D154*100000,"water")/1000</f>
        <v>2782.5715384736836</v>
      </c>
      <c r="U147" s="9" t="s">
        <v>121</v>
      </c>
      <c r="V147" s="12">
        <f>IFERROR(AI64,2400)</f>
        <v>2743.3855232569499</v>
      </c>
      <c r="BH147" s="31" t="s">
        <v>519</v>
      </c>
      <c r="CK147">
        <v>48</v>
      </c>
      <c r="CL147">
        <f t="shared" si="7"/>
        <v>740.74074074074065</v>
      </c>
      <c r="CM147">
        <f t="shared" si="8"/>
        <v>400</v>
      </c>
      <c r="CN147" s="138">
        <f t="shared" si="6"/>
        <v>400.00000000062499</v>
      </c>
    </row>
    <row r="148" spans="3:92" x14ac:dyDescent="0.55000000000000004">
      <c r="I148" s="9" t="s">
        <v>13</v>
      </c>
      <c r="J148" s="53">
        <f ca="1">J136+H142</f>
        <v>167.79454218149402</v>
      </c>
      <c r="U148" s="9" t="s">
        <v>123</v>
      </c>
      <c r="V148" s="12">
        <f>V146/3.6*V147/1000</f>
        <v>0.30976106087393257</v>
      </c>
      <c r="Z148" s="16"/>
      <c r="BW148" t="s">
        <v>26</v>
      </c>
      <c r="BX148" s="25" t="e">
        <f>(BP155)*180/BI153</f>
        <v>#DIV/0!</v>
      </c>
      <c r="CK148">
        <v>50</v>
      </c>
      <c r="CL148">
        <f t="shared" si="7"/>
        <v>771.60493827160496</v>
      </c>
      <c r="CM148">
        <f t="shared" si="8"/>
        <v>500</v>
      </c>
      <c r="CN148" s="138">
        <f t="shared" si="6"/>
        <v>500.00000000049999</v>
      </c>
    </row>
    <row r="149" spans="3:92" x14ac:dyDescent="0.55000000000000004">
      <c r="I149" s="9" t="s">
        <v>27</v>
      </c>
      <c r="J149" s="12">
        <f ca="1">H143+J138</f>
        <v>129.72403268476194</v>
      </c>
      <c r="BH149" s="147" t="s">
        <v>193</v>
      </c>
      <c r="BI149" s="147"/>
      <c r="CK149">
        <v>60</v>
      </c>
      <c r="CL149">
        <f t="shared" si="7"/>
        <v>925.92592592592598</v>
      </c>
      <c r="CM149">
        <f t="shared" si="8"/>
        <v>1000</v>
      </c>
      <c r="CN149" s="138">
        <f t="shared" si="6"/>
        <v>1000.00000000025</v>
      </c>
    </row>
    <row r="150" spans="3:92" x14ac:dyDescent="0.55000000000000004">
      <c r="BH150" s="9" t="s">
        <v>4</v>
      </c>
      <c r="BI150" s="12">
        <f>D80</f>
        <v>400</v>
      </c>
      <c r="CK150">
        <v>70</v>
      </c>
      <c r="CL150">
        <f t="shared" si="7"/>
        <v>1080.2469135802467</v>
      </c>
      <c r="CM150">
        <f t="shared" si="8"/>
        <v>1500</v>
      </c>
      <c r="CN150" s="138">
        <f t="shared" si="6"/>
        <v>1500.0000000001667</v>
      </c>
    </row>
    <row r="151" spans="3:92" x14ac:dyDescent="0.55000000000000004">
      <c r="BH151" s="9" t="s">
        <v>148</v>
      </c>
      <c r="BI151" s="12" cm="1">
        <f t="array" ref="BI151">[1]!PropsSI("T","P",BI152*100000,"Q",1,"water")-273.15</f>
        <v>257.43663545633387</v>
      </c>
      <c r="CK151">
        <v>80</v>
      </c>
      <c r="CL151">
        <f t="shared" si="7"/>
        <v>1234.5679012345679</v>
      </c>
      <c r="CM151">
        <f t="shared" si="8"/>
        <v>2000</v>
      </c>
      <c r="CN151" s="138">
        <f t="shared" si="6"/>
        <v>2000.0000000001251</v>
      </c>
    </row>
    <row r="152" spans="3:92" x14ac:dyDescent="0.55000000000000004">
      <c r="C152" s="159" t="s">
        <v>219</v>
      </c>
      <c r="D152" s="159"/>
      <c r="AW152" t="s">
        <v>161</v>
      </c>
      <c r="AX152" s="16">
        <f ca="1">J148+V146</f>
        <v>168.20102526952252</v>
      </c>
      <c r="BH152" s="9" t="s">
        <v>50</v>
      </c>
      <c r="BI152" s="12">
        <f>D81</f>
        <v>45</v>
      </c>
      <c r="CK152">
        <v>90</v>
      </c>
      <c r="CL152">
        <f t="shared" si="7"/>
        <v>1388.8888888888889</v>
      </c>
      <c r="CM152">
        <f t="shared" si="8"/>
        <v>2500</v>
      </c>
      <c r="CN152" s="138">
        <f t="shared" si="6"/>
        <v>2500.0000000001</v>
      </c>
    </row>
    <row r="153" spans="3:92" x14ac:dyDescent="0.55000000000000004">
      <c r="C153" s="9" t="s">
        <v>4</v>
      </c>
      <c r="D153" s="57">
        <f ca="1">J146</f>
        <v>165</v>
      </c>
      <c r="AW153" t="s">
        <v>162</v>
      </c>
      <c r="AX153" s="16">
        <f ca="1">AA171+P145</f>
        <v>168.20102526952252</v>
      </c>
      <c r="BH153" s="9" t="s">
        <v>13</v>
      </c>
      <c r="BI153" s="12">
        <f>Z96</f>
        <v>0</v>
      </c>
      <c r="CK153">
        <v>100</v>
      </c>
      <c r="CL153">
        <f t="shared" si="7"/>
        <v>1543.2098765432099</v>
      </c>
      <c r="CM153">
        <f t="shared" si="8"/>
        <v>3000</v>
      </c>
      <c r="CN153" s="138">
        <f t="shared" si="6"/>
        <v>3000.0000000000837</v>
      </c>
    </row>
    <row r="154" spans="3:92" x14ac:dyDescent="0.55000000000000004">
      <c r="C154" s="9" t="s">
        <v>50</v>
      </c>
      <c r="D154" s="57">
        <v>4.5</v>
      </c>
      <c r="BH154" s="9" t="s">
        <v>151</v>
      </c>
      <c r="BI154" s="12" cm="1">
        <f t="array" ref="BI154">[1]!PropsSI("H","P",BI152*100000,"T",BI150+273.15,"water")/1000</f>
        <v>3205.6476778196393</v>
      </c>
    </row>
    <row r="155" spans="3:92" x14ac:dyDescent="0.55000000000000004">
      <c r="C155" s="9" t="s">
        <v>151</v>
      </c>
      <c r="D155" s="12">
        <f ca="1">(J149+AI65)*1000/(AX152/3.6)</f>
        <v>2783.1082285864713</v>
      </c>
      <c r="BH155" s="9" t="s">
        <v>196</v>
      </c>
      <c r="BI155" s="12" cm="1">
        <f t="array" ref="BI155">[1]!PropsSI("S","P",BI152*100000,"T",BI150+273.15,"water")/1000</f>
        <v>6.7070450176058172</v>
      </c>
      <c r="BO155" s="19" t="s">
        <v>197</v>
      </c>
      <c r="BP155" s="12">
        <f>BI153/3.6*(BI154-BO173)/1000</f>
        <v>0</v>
      </c>
      <c r="BT155" s="19" t="s">
        <v>195</v>
      </c>
      <c r="BU155" s="9"/>
      <c r="BV155" s="12">
        <f>BP155+CA155</f>
        <v>0</v>
      </c>
    </row>
    <row r="156" spans="3:92" x14ac:dyDescent="0.55000000000000004">
      <c r="Q156" s="7" t="s">
        <v>220</v>
      </c>
    </row>
    <row r="158" spans="3:92" x14ac:dyDescent="0.55000000000000004">
      <c r="W158" s="16"/>
      <c r="Z158" s="147" t="s">
        <v>221</v>
      </c>
      <c r="AA158" s="147"/>
      <c r="AB158" s="147"/>
    </row>
    <row r="159" spans="3:92" x14ac:dyDescent="0.55000000000000004">
      <c r="Z159" s="9" t="s">
        <v>168</v>
      </c>
      <c r="AA159" s="9" t="s">
        <v>169</v>
      </c>
      <c r="AB159" s="9" t="s">
        <v>362</v>
      </c>
    </row>
    <row r="160" spans="3:92" x14ac:dyDescent="0.55000000000000004">
      <c r="P160" s="147" t="s">
        <v>430</v>
      </c>
      <c r="Q160" s="147"/>
      <c r="Z160" s="9" t="s">
        <v>338</v>
      </c>
      <c r="AA160" s="12">
        <f>'Steam Demand Data'!U47</f>
        <v>30.29</v>
      </c>
      <c r="AB160" s="12">
        <f>'Steam Demand Data'!V47</f>
        <v>0</v>
      </c>
      <c r="BK160" t="s">
        <v>200</v>
      </c>
      <c r="BL160" s="4">
        <v>0.75</v>
      </c>
    </row>
    <row r="161" spans="16:80" x14ac:dyDescent="0.55000000000000004">
      <c r="P161" s="9" t="s">
        <v>13</v>
      </c>
      <c r="Q161" s="12">
        <f>IF('Scenario Setup'!C11&lt;2,0,'Scenario Setup'!C11)</f>
        <v>0</v>
      </c>
      <c r="Z161" s="9" t="s">
        <v>339</v>
      </c>
      <c r="AA161" s="12">
        <f>'Steam Demand Data'!U50</f>
        <v>6</v>
      </c>
      <c r="AB161" s="12">
        <f>'Steam Demand Data'!V50</f>
        <v>6</v>
      </c>
    </row>
    <row r="162" spans="16:80" x14ac:dyDescent="0.55000000000000004">
      <c r="P162" s="9" t="s">
        <v>27</v>
      </c>
      <c r="Q162" s="12">
        <f ca="1">Q161/3.6*D155/1000</f>
        <v>0</v>
      </c>
      <c r="Z162" s="9" t="s">
        <v>206</v>
      </c>
      <c r="AA162" s="12">
        <v>0</v>
      </c>
      <c r="AB162" s="12">
        <v>0</v>
      </c>
    </row>
    <row r="163" spans="16:80" x14ac:dyDescent="0.55000000000000004">
      <c r="Z163" s="9" t="s">
        <v>223</v>
      </c>
      <c r="AA163" s="12">
        <f>'Steam Demand Data'!U49</f>
        <v>2.4635750000000001</v>
      </c>
      <c r="AB163" s="12">
        <f>'Steam Demand Data'!V49</f>
        <v>0</v>
      </c>
    </row>
    <row r="164" spans="16:80" x14ac:dyDescent="0.55000000000000004">
      <c r="Z164" s="9" t="s">
        <v>304</v>
      </c>
      <c r="AA164" s="12">
        <f>'Steam Demand Data'!U48</f>
        <v>6.8900000000000006</v>
      </c>
      <c r="AB164" s="12">
        <f>'Steam Demand Data'!V48</f>
        <v>0</v>
      </c>
    </row>
    <row r="165" spans="16:80" x14ac:dyDescent="0.55000000000000004">
      <c r="Z165" s="9" t="s">
        <v>353</v>
      </c>
      <c r="AA165" s="52">
        <f>'Scenario Setup'!C16</f>
        <v>33.268740000000001</v>
      </c>
      <c r="AB165" s="12">
        <f>AA165</f>
        <v>33.268740000000001</v>
      </c>
    </row>
    <row r="166" spans="16:80" x14ac:dyDescent="0.55000000000000004">
      <c r="Z166" s="9" t="s">
        <v>354</v>
      </c>
      <c r="AA166" s="52">
        <f>'Scenario Setup'!C17</f>
        <v>35.487442000000001</v>
      </c>
      <c r="AB166" s="12">
        <f>AA166</f>
        <v>35.487442000000001</v>
      </c>
      <c r="BR166">
        <f>26/3.6*(BI154-BO173)/1000</f>
        <v>5.8589500856457954</v>
      </c>
    </row>
    <row r="167" spans="16:80" x14ac:dyDescent="0.55000000000000004">
      <c r="Z167" s="9" t="s">
        <v>225</v>
      </c>
      <c r="AA167" s="12">
        <f ca="1">IFERROR(P36+AF43+BE36,20)</f>
        <v>39.921839045737229</v>
      </c>
      <c r="AB167" s="12">
        <f ca="1">AA167</f>
        <v>39.921839045737229</v>
      </c>
      <c r="CB167" s="2"/>
    </row>
    <row r="168" spans="16:80" x14ac:dyDescent="0.55000000000000004">
      <c r="Z168" s="9" t="s">
        <v>430</v>
      </c>
      <c r="AA168" s="12">
        <f>Q161</f>
        <v>0</v>
      </c>
      <c r="AB168" s="12">
        <v>0</v>
      </c>
      <c r="BN168" s="147" t="s">
        <v>210</v>
      </c>
      <c r="BO168" s="147"/>
    </row>
    <row r="169" spans="16:80" x14ac:dyDescent="0.55000000000000004">
      <c r="Z169" s="9" t="s">
        <v>213</v>
      </c>
      <c r="AA169" s="12">
        <f>'Steam Demand Data'!U56</f>
        <v>8.39</v>
      </c>
      <c r="AB169" s="12">
        <f>'Steam Demand Data'!V56</f>
        <v>8.39</v>
      </c>
      <c r="BN169" s="9" t="s">
        <v>4</v>
      </c>
      <c r="BO169" s="12" cm="1">
        <f t="array" ref="BO169">[1]!PropsSI("T","P",BO171*100000,"H",BO173*1000,"water")-273.15</f>
        <v>45.806328923937826</v>
      </c>
    </row>
    <row r="170" spans="16:80" x14ac:dyDescent="0.55000000000000004">
      <c r="Z170" s="9" t="s">
        <v>297</v>
      </c>
      <c r="AA170" s="12">
        <f>'Steam Demand Data'!U59</f>
        <v>2.25</v>
      </c>
      <c r="AB170" s="12">
        <f>'Steam Demand Data'!V59</f>
        <v>0</v>
      </c>
      <c r="AC170" s="16"/>
      <c r="BN170" s="9" t="s">
        <v>148</v>
      </c>
      <c r="BO170" s="12" cm="1">
        <f t="array" ref="BO170">[1]!PropsSI("T","P",BO171*100000,"Q",1,"water")-273.15</f>
        <v>45.806328923937826</v>
      </c>
      <c r="CB170" s="2"/>
    </row>
    <row r="171" spans="16:80" x14ac:dyDescent="0.55000000000000004">
      <c r="X171" s="16"/>
      <c r="Z171" s="19" t="s">
        <v>216</v>
      </c>
      <c r="AA171" s="51">
        <f ca="1">SUM(AA160:AA170)</f>
        <v>164.96159604573722</v>
      </c>
      <c r="AB171" s="51">
        <f ca="1">SUM(AB160:AB168)</f>
        <v>114.67802104573722</v>
      </c>
      <c r="BN171" s="9" t="s">
        <v>50</v>
      </c>
      <c r="BO171" s="12">
        <f>'Scenario Setup'!H10</f>
        <v>0.1</v>
      </c>
    </row>
    <row r="172" spans="16:80" x14ac:dyDescent="0.55000000000000004">
      <c r="Z172" s="16"/>
      <c r="BN172" s="9" t="s">
        <v>13</v>
      </c>
      <c r="BO172" s="12">
        <f>BI153-BS163</f>
        <v>0</v>
      </c>
    </row>
    <row r="173" spans="16:80" x14ac:dyDescent="0.55000000000000004">
      <c r="Z173" s="16"/>
      <c r="AB173" s="16"/>
      <c r="BN173" s="9" t="s">
        <v>211</v>
      </c>
      <c r="BO173" s="12">
        <f>-(BL160*(BI154-BO174)-BI154)</f>
        <v>2394.40843519176</v>
      </c>
      <c r="BP173" t="s">
        <v>212</v>
      </c>
    </row>
    <row r="174" spans="16:80" x14ac:dyDescent="0.55000000000000004">
      <c r="Z174" s="16"/>
      <c r="BN174" s="9" t="s">
        <v>214</v>
      </c>
      <c r="BO174" s="12" cm="1">
        <f t="array" ref="BO174">[1]!PropsSI("H","P",BO171*100000,"S",BI155*1000,"water")/1000</f>
        <v>2123.9953543157999</v>
      </c>
    </row>
    <row r="175" spans="16:80" x14ac:dyDescent="0.55000000000000004">
      <c r="AA175" s="16"/>
      <c r="BN175" s="9" t="s">
        <v>27</v>
      </c>
      <c r="BO175" s="12">
        <f>BO172/3.6*BO173/1000</f>
        <v>0</v>
      </c>
    </row>
    <row r="176" spans="16:80" x14ac:dyDescent="0.55000000000000004">
      <c r="AA176" s="16"/>
      <c r="BN176" s="17" t="s">
        <v>39</v>
      </c>
      <c r="BO176" s="4" cm="1">
        <f t="array" ref="BO176">[1]!PropsSI("Q","P",BO171*100000,"H",BO173*1000,"water")</f>
        <v>0.92080014188523485</v>
      </c>
      <c r="BW176" t="s">
        <v>358</v>
      </c>
    </row>
    <row r="177" spans="25:73" x14ac:dyDescent="0.55000000000000004">
      <c r="Y177" s="16"/>
      <c r="AB177" s="16"/>
    </row>
    <row r="179" spans="25:73" x14ac:dyDescent="0.55000000000000004">
      <c r="Z179" s="16"/>
    </row>
    <row r="181" spans="25:73" x14ac:dyDescent="0.55000000000000004">
      <c r="BP181" s="2"/>
    </row>
    <row r="182" spans="25:73" x14ac:dyDescent="0.55000000000000004">
      <c r="BQ182" s="31"/>
    </row>
    <row r="184" spans="25:73" x14ac:dyDescent="0.55000000000000004">
      <c r="BI184" s="31" t="s">
        <v>506</v>
      </c>
    </row>
    <row r="185" spans="25:73" ht="16.8" x14ac:dyDescent="0.75">
      <c r="BM185" s="86" t="s">
        <v>483</v>
      </c>
      <c r="BN185" s="4">
        <v>0.75</v>
      </c>
      <c r="BU185" s="25"/>
    </row>
    <row r="186" spans="25:73" x14ac:dyDescent="0.55000000000000004">
      <c r="BP186" t="s">
        <v>518</v>
      </c>
      <c r="BQ186" s="25">
        <f>(BE204/3.6*(BI118-BO137)/1000)</f>
        <v>0</v>
      </c>
      <c r="BT186" t="s">
        <v>26</v>
      </c>
      <c r="BU186" s="25" t="e">
        <f ca="1">(BQ187+(BE204/3.6*(BI118-BO137)/1000))*180/BE204</f>
        <v>#DIV/0!</v>
      </c>
    </row>
    <row r="187" spans="25:73" x14ac:dyDescent="0.55000000000000004">
      <c r="BP187" t="s">
        <v>500</v>
      </c>
      <c r="BQ187" s="25">
        <f ca="1">BK195/3.6*(BK194-BP194)/1000</f>
        <v>0</v>
      </c>
      <c r="BS187" s="25"/>
    </row>
    <row r="190" spans="25:73" x14ac:dyDescent="0.55000000000000004">
      <c r="BJ190" t="s">
        <v>484</v>
      </c>
      <c r="BO190" t="s">
        <v>485</v>
      </c>
    </row>
    <row r="191" spans="25:73" x14ac:dyDescent="0.55000000000000004">
      <c r="BJ191" t="s">
        <v>486</v>
      </c>
      <c r="BK191" s="88">
        <f>BE203-10</f>
        <v>252.62206301363642</v>
      </c>
      <c r="BO191" t="s">
        <v>486</v>
      </c>
      <c r="BP191" s="16" cm="1">
        <f t="array" ref="BP191">[1]!PropsSI("T","P",BP192*1000,"H",BP194*1000,$BL$202)-273.15</f>
        <v>202.05251157732039</v>
      </c>
    </row>
    <row r="192" spans="25:73" x14ac:dyDescent="0.55000000000000004">
      <c r="BJ192" t="s">
        <v>487</v>
      </c>
      <c r="BK192" s="16" cm="1">
        <f t="array" ref="BK192">[1]!PropsSI("T","P",BK193*1000,"Q",1,$BL$202)-273.15</f>
        <v>135.00000000023783</v>
      </c>
      <c r="BO192" t="s">
        <v>488</v>
      </c>
      <c r="BP192" s="16">
        <f>BV226</f>
        <v>82.00494850132317</v>
      </c>
      <c r="BR192" s="25"/>
    </row>
    <row r="193" spans="55:74" x14ac:dyDescent="0.55000000000000004">
      <c r="BJ193" t="s">
        <v>488</v>
      </c>
      <c r="BK193" s="16">
        <f>BK218</f>
        <v>1214.0759581176806</v>
      </c>
      <c r="BO193" t="s">
        <v>489</v>
      </c>
      <c r="BP193" s="16" cm="1">
        <f t="array" ref="BP193">[1]!PropsSI("H","S",BK196*1000,"P",BP192*1000,$BL$202)/1000</f>
        <v>669.40819246694707</v>
      </c>
    </row>
    <row r="194" spans="55:74" x14ac:dyDescent="0.55000000000000004">
      <c r="BC194" cm="1">
        <f t="array" ref="BC194">[1]!PropsSI("T","P",1250000,"Q",1,"water")-273.15</f>
        <v>189.80936611614334</v>
      </c>
      <c r="BJ194" t="s">
        <v>151</v>
      </c>
      <c r="BK194" s="16" cm="1">
        <f t="array" ref="BK194">[1]!PropsSI("H","T",BK191+273.15,"P",BK193*1000,$BL$202)/1000</f>
        <v>816.75057051953513</v>
      </c>
      <c r="BO194" t="s">
        <v>490</v>
      </c>
      <c r="BP194" s="16">
        <f>((BN185*(BK194-BP193)-BK194)*-1)</f>
        <v>706.24378698009411</v>
      </c>
      <c r="BT194" t="s">
        <v>516</v>
      </c>
      <c r="BU194" s="90">
        <v>3000000</v>
      </c>
    </row>
    <row r="195" spans="55:74" x14ac:dyDescent="0.55000000000000004">
      <c r="BJ195" t="s">
        <v>13</v>
      </c>
      <c r="BK195" s="16">
        <f ca="1">IFERROR(BK205*1000/(BK194-BK219)*3.6,1)</f>
        <v>1</v>
      </c>
      <c r="BO195" t="s">
        <v>13</v>
      </c>
      <c r="BP195" s="16">
        <f ca="1">BK195</f>
        <v>1</v>
      </c>
      <c r="BT195" t="s">
        <v>515</v>
      </c>
      <c r="BU195" s="82">
        <f ca="1">BQ187*BU194</f>
        <v>0</v>
      </c>
    </row>
    <row r="196" spans="55:74" x14ac:dyDescent="0.55000000000000004">
      <c r="BJ196" t="s">
        <v>491</v>
      </c>
      <c r="BK196" s="16" cm="1">
        <f t="array" ref="BK196">[1]!PropsSI("S","P",BK193*1000,"T",BK191+273.15,BL202)/1000</f>
        <v>1.9937756314004642</v>
      </c>
      <c r="BO196" t="s">
        <v>491</v>
      </c>
      <c r="BP196" s="16" cm="1">
        <f t="array" ref="BP196">[1]!PropsSI("S","P",BP192*1000,"T",BP191+273.15,$BL$202)/1000</f>
        <v>2.0725612020641977</v>
      </c>
      <c r="BS196" s="25"/>
      <c r="BT196" t="s">
        <v>517</v>
      </c>
      <c r="BU196" s="82">
        <f ca="1">(BQ187+BQ186)*8000*220</f>
        <v>0</v>
      </c>
    </row>
    <row r="197" spans="55:74" x14ac:dyDescent="0.55000000000000004">
      <c r="BJ197" t="s">
        <v>27</v>
      </c>
      <c r="BK197" s="16">
        <f ca="1">BK195/3.6*BK194/1000</f>
        <v>0.22687515847764866</v>
      </c>
      <c r="BO197" t="s">
        <v>27</v>
      </c>
      <c r="BP197" s="16">
        <f ca="1">BP195/3.6*BP194/1000</f>
        <v>0.19617882971669284</v>
      </c>
    </row>
    <row r="198" spans="55:74" x14ac:dyDescent="0.55000000000000004">
      <c r="BU198">
        <f>10*8000*220</f>
        <v>17600000</v>
      </c>
    </row>
    <row r="199" spans="55:74" x14ac:dyDescent="0.55000000000000004">
      <c r="BU199" s="25"/>
    </row>
    <row r="202" spans="55:74" x14ac:dyDescent="0.55000000000000004">
      <c r="BD202" s="154" t="s">
        <v>446</v>
      </c>
      <c r="BE202" s="155"/>
      <c r="BK202" t="s">
        <v>505</v>
      </c>
      <c r="BL202" s="3" t="s">
        <v>498</v>
      </c>
    </row>
    <row r="203" spans="55:74" x14ac:dyDescent="0.55000000000000004">
      <c r="BD203" s="9" t="s">
        <v>4</v>
      </c>
      <c r="BE203" s="12">
        <f>BO133</f>
        <v>262.62206301363642</v>
      </c>
      <c r="BS203" s="87" t="s">
        <v>492</v>
      </c>
      <c r="BT203" s="16" t="e">
        <f ca="1">ABS(BS214-BW209)</f>
        <v>#VALUE!</v>
      </c>
    </row>
    <row r="204" spans="55:74" x14ac:dyDescent="0.55000000000000004">
      <c r="BD204" s="9" t="s">
        <v>13</v>
      </c>
      <c r="BE204" s="12">
        <f>O117</f>
        <v>0</v>
      </c>
      <c r="BP204" t="s">
        <v>502</v>
      </c>
      <c r="BS204" t="s">
        <v>27</v>
      </c>
      <c r="BT204">
        <v>18.399999999999999</v>
      </c>
    </row>
    <row r="205" spans="55:74" x14ac:dyDescent="0.55000000000000004">
      <c r="BD205" s="9" t="s">
        <v>27</v>
      </c>
      <c r="BE205" s="12">
        <f>BE204/3.6*BO137/1000</f>
        <v>0</v>
      </c>
      <c r="BJ205" t="s">
        <v>27</v>
      </c>
      <c r="BK205" s="16">
        <f>BE205-BE215</f>
        <v>0</v>
      </c>
    </row>
    <row r="208" spans="55:74" x14ac:dyDescent="0.55000000000000004">
      <c r="BV208" t="s">
        <v>493</v>
      </c>
    </row>
    <row r="209" spans="56:79" x14ac:dyDescent="0.55000000000000004">
      <c r="BV209" t="s">
        <v>486</v>
      </c>
      <c r="BW209" s="16" cm="1">
        <f t="array" ref="BW209">[1]!PropsSI("T","P",BW210*1000,"H",BW211*1000,$BL$202)-273.15</f>
        <v>30.389993647527263</v>
      </c>
    </row>
    <row r="210" spans="56:79" x14ac:dyDescent="0.55000000000000004">
      <c r="BD210" s="154" t="s">
        <v>447</v>
      </c>
      <c r="BE210" s="155"/>
      <c r="BV210" t="s">
        <v>488</v>
      </c>
      <c r="BW210" s="16">
        <f>BK218</f>
        <v>1214.0759581176806</v>
      </c>
    </row>
    <row r="211" spans="56:79" x14ac:dyDescent="0.55000000000000004">
      <c r="BD211" s="9" t="s">
        <v>4</v>
      </c>
      <c r="BE211" s="13">
        <v>145</v>
      </c>
      <c r="BF211" t="s">
        <v>511</v>
      </c>
      <c r="BV211" t="s">
        <v>151</v>
      </c>
      <c r="BW211" s="16">
        <f>BV227+CA223</f>
        <v>-12.440915322212263</v>
      </c>
    </row>
    <row r="212" spans="56:79" x14ac:dyDescent="0.55000000000000004">
      <c r="BD212" s="9" t="s">
        <v>17</v>
      </c>
      <c r="BE212" s="12" cm="1">
        <f t="array" ref="BE212">[1]!PropsSI("H","T",BE211+273.15,"P",BO135*100000,"water")/1000</f>
        <v>611.16660234296228</v>
      </c>
      <c r="BV212" t="s">
        <v>13</v>
      </c>
      <c r="BW212" s="16">
        <f ca="1">BP195</f>
        <v>1</v>
      </c>
    </row>
    <row r="213" spans="56:79" x14ac:dyDescent="0.55000000000000004">
      <c r="BD213" s="9" t="s">
        <v>66</v>
      </c>
      <c r="BE213" s="32" cm="1">
        <f t="array" ref="BE213">(BE214/3.6)/[1]!PropsSI("D","P",BO135*100000,"T",BE211+273.15,"water")*60*1000</f>
        <v>0</v>
      </c>
      <c r="BR213" t="s">
        <v>494</v>
      </c>
      <c r="BV213" t="s">
        <v>27</v>
      </c>
      <c r="BW213" s="16">
        <f ca="1">BW212/3.6*BW211/1000</f>
        <v>-3.4558098117256288E-3</v>
      </c>
    </row>
    <row r="214" spans="56:79" x14ac:dyDescent="0.55000000000000004">
      <c r="BD214" s="9" t="s">
        <v>13</v>
      </c>
      <c r="BE214" s="12">
        <f>BE204</f>
        <v>0</v>
      </c>
      <c r="BR214" t="s">
        <v>486</v>
      </c>
      <c r="BS214" s="16" t="e" cm="1">
        <f t="array" aca="1" ref="BS214" ca="1">[1]!PropsSI("T","P",BS215*1000,"H",BS216*1000,$BL$202)-273.15</f>
        <v>#VALUE!</v>
      </c>
    </row>
    <row r="215" spans="56:79" x14ac:dyDescent="0.55000000000000004">
      <c r="BD215" s="9" t="s">
        <v>27</v>
      </c>
      <c r="BE215" s="12">
        <f>BE214/3.6*BE212/1000</f>
        <v>0</v>
      </c>
      <c r="BJ215" t="s">
        <v>503</v>
      </c>
      <c r="BR215" t="s">
        <v>488</v>
      </c>
      <c r="BS215" s="16">
        <f>BV226</f>
        <v>82.00494850132317</v>
      </c>
    </row>
    <row r="216" spans="56:79" x14ac:dyDescent="0.55000000000000004">
      <c r="BJ216" t="s">
        <v>486</v>
      </c>
      <c r="BK216" s="16" t="e" cm="1">
        <f t="array" aca="1" ref="BK216" ca="1">[1]!PropsSI("T","P",BK218*1000,"H",BK219*1000,$BL$202)-273.15</f>
        <v>#VALUE!</v>
      </c>
      <c r="BR216" t="s">
        <v>151</v>
      </c>
      <c r="BS216" s="16" t="e">
        <f ca="1">((BP194*BP195/3.6)-BT204*1000)/(BS217/3.6)</f>
        <v>#DIV/0!</v>
      </c>
    </row>
    <row r="217" spans="56:79" x14ac:dyDescent="0.55000000000000004">
      <c r="BD217" s="35" t="s">
        <v>512</v>
      </c>
      <c r="BJ217" t="s">
        <v>487</v>
      </c>
      <c r="BK217" s="88">
        <f>BE211-10</f>
        <v>135</v>
      </c>
      <c r="BR217" t="s">
        <v>13</v>
      </c>
      <c r="BS217" s="16">
        <f ca="1">BP195</f>
        <v>1</v>
      </c>
    </row>
    <row r="218" spans="56:79" x14ac:dyDescent="0.55000000000000004">
      <c r="BD218" s="35" t="s">
        <v>514</v>
      </c>
      <c r="BJ218" t="s">
        <v>488</v>
      </c>
      <c r="BK218" s="16" cm="1">
        <f t="array" ref="BK218">[1]!PropsSI("P","T",BK217+273.15,"Q",0,$BL$202)/1000</f>
        <v>1214.0759581176806</v>
      </c>
      <c r="BM218" t="s">
        <v>499</v>
      </c>
      <c r="BO218" t="s">
        <v>501</v>
      </c>
      <c r="BP218" s="16" t="e">
        <f ca="1">BS217/3.6*(BS216-BV227)/1000</f>
        <v>#DIV/0!</v>
      </c>
      <c r="BR218" t="s">
        <v>27</v>
      </c>
      <c r="BS218" s="16" t="e">
        <f ca="1">BS217/3.6*BS216/1000</f>
        <v>#DIV/0!</v>
      </c>
    </row>
    <row r="219" spans="56:79" x14ac:dyDescent="0.55000000000000004">
      <c r="BJ219" t="s">
        <v>151</v>
      </c>
      <c r="BK219" s="16" t="e">
        <f ca="1">(BT204*1000+(BW212/3.6*BW211))/(BK220/3.6)</f>
        <v>#DIV/0!</v>
      </c>
    </row>
    <row r="220" spans="56:79" x14ac:dyDescent="0.55000000000000004">
      <c r="BJ220" t="s">
        <v>13</v>
      </c>
      <c r="BK220" s="16">
        <f ca="1">BW212</f>
        <v>1</v>
      </c>
    </row>
    <row r="221" spans="56:79" x14ac:dyDescent="0.55000000000000004">
      <c r="BJ221" t="s">
        <v>27</v>
      </c>
      <c r="BK221" s="16" t="e">
        <f ca="1">BK219/3.6*BK218/1000</f>
        <v>#DIV/0!</v>
      </c>
    </row>
    <row r="223" spans="56:79" x14ac:dyDescent="0.55000000000000004">
      <c r="BZ223" t="s">
        <v>495</v>
      </c>
      <c r="CA223" s="16" cm="1">
        <f t="array" ref="CA223">(([1]!PropsSI("D","T",BV225+273.15,"Q",0,$BL$202)^-1)*(BW210-BV226))</f>
        <v>1.8373584002701606</v>
      </c>
    </row>
    <row r="224" spans="56:79" x14ac:dyDescent="0.55000000000000004">
      <c r="BU224" t="s">
        <v>496</v>
      </c>
      <c r="BZ224" t="s">
        <v>497</v>
      </c>
      <c r="CA224" s="16">
        <f ca="1">CA223*BV228/3.6/BY226</f>
        <v>0</v>
      </c>
    </row>
    <row r="225" spans="70:77" x14ac:dyDescent="0.55000000000000004">
      <c r="BU225" t="s">
        <v>486</v>
      </c>
      <c r="BV225" s="88">
        <v>30</v>
      </c>
    </row>
    <row r="226" spans="70:77" ht="16.8" x14ac:dyDescent="0.75">
      <c r="BU226" t="s">
        <v>488</v>
      </c>
      <c r="BV226" s="16" cm="1">
        <f t="array" ref="BV226">[1]!PropsSI("P","T",BV225+273.15,"Q",0,$BL$202)/1000</f>
        <v>82.00494850132317</v>
      </c>
      <c r="BX226" s="86" t="s">
        <v>504</v>
      </c>
      <c r="BY226" s="4">
        <v>0.8</v>
      </c>
    </row>
    <row r="227" spans="70:77" x14ac:dyDescent="0.55000000000000004">
      <c r="BU227" t="s">
        <v>151</v>
      </c>
      <c r="BV227" s="16" cm="1">
        <f t="array" ref="BV227">[1]!PropsSI("H","P",BV226*1000,"Q",0,$BL$202)/1000</f>
        <v>-14.278273722482423</v>
      </c>
    </row>
    <row r="228" spans="70:77" x14ac:dyDescent="0.55000000000000004">
      <c r="BU228" t="s">
        <v>13</v>
      </c>
      <c r="BV228" s="16">
        <f ca="1">BW212</f>
        <v>1</v>
      </c>
    </row>
    <row r="229" spans="70:77" x14ac:dyDescent="0.55000000000000004">
      <c r="BU229" t="s">
        <v>27</v>
      </c>
      <c r="BV229" s="16">
        <f ca="1">BV228/3.6*BV227/1000</f>
        <v>-3.9661871451340067E-3</v>
      </c>
    </row>
    <row r="237" spans="70:77" x14ac:dyDescent="0.55000000000000004">
      <c r="BR237" s="154" t="s">
        <v>479</v>
      </c>
      <c r="BS237" s="155"/>
    </row>
    <row r="238" spans="70:77" x14ac:dyDescent="0.55000000000000004">
      <c r="BR238" s="9" t="s">
        <v>4</v>
      </c>
      <c r="BS238" s="9">
        <f>D80</f>
        <v>400</v>
      </c>
    </row>
    <row r="239" spans="70:77" x14ac:dyDescent="0.55000000000000004">
      <c r="BR239" s="9" t="s">
        <v>151</v>
      </c>
      <c r="BS239" s="12" cm="1">
        <f t="array" ref="BS239">[1]!PropsSI("H","T",BS238+273.15,"P",D81*100000,"water")/1000</f>
        <v>3205.6476778196393</v>
      </c>
    </row>
    <row r="240" spans="70:77" x14ac:dyDescent="0.55000000000000004">
      <c r="BR240" s="9" t="s">
        <v>13</v>
      </c>
      <c r="BS240" s="22">
        <f>(BW245/3.6*(BW246-BO269))/(BS239-BS253)*3.6</f>
        <v>0</v>
      </c>
    </row>
    <row r="241" spans="58:81" x14ac:dyDescent="0.55000000000000004">
      <c r="BR241" s="9" t="s">
        <v>27</v>
      </c>
      <c r="BS241" s="9">
        <f>BS240/3.6*BS239/1000</f>
        <v>0</v>
      </c>
      <c r="BV241" s="154" t="s">
        <v>199</v>
      </c>
      <c r="BW241" s="155"/>
    </row>
    <row r="242" spans="58:81" x14ac:dyDescent="0.55000000000000004">
      <c r="BV242" s="9" t="s">
        <v>4</v>
      </c>
      <c r="BW242" s="71">
        <f>BS252-10</f>
        <v>247.43663545633387</v>
      </c>
    </row>
    <row r="243" spans="58:81" x14ac:dyDescent="0.55000000000000004">
      <c r="BF243" s="31" t="s">
        <v>521</v>
      </c>
      <c r="BV243" s="9" t="s">
        <v>148</v>
      </c>
      <c r="BW243" s="12" cm="1">
        <f t="array" ref="BW243">[1]!PropsSI("T","P",BW244*100000,"Q",1,"water")-273.15</f>
        <v>147.90339916177226</v>
      </c>
    </row>
    <row r="244" spans="58:81" x14ac:dyDescent="0.55000000000000004">
      <c r="BK244" s="58" t="s">
        <v>479</v>
      </c>
      <c r="BL244" s="59"/>
      <c r="BR244" t="s">
        <v>481</v>
      </c>
      <c r="BT244" s="25">
        <f>BS241-BS255</f>
        <v>0</v>
      </c>
      <c r="BU244" t="s">
        <v>84</v>
      </c>
      <c r="BV244" s="9" t="s">
        <v>50</v>
      </c>
      <c r="BW244" s="12">
        <f>BO267</f>
        <v>4.5</v>
      </c>
    </row>
    <row r="245" spans="58:81" x14ac:dyDescent="0.55000000000000004">
      <c r="BK245" s="9" t="s">
        <v>4</v>
      </c>
      <c r="BL245" s="9">
        <f>D80</f>
        <v>400</v>
      </c>
      <c r="BV245" s="9" t="s">
        <v>13</v>
      </c>
      <c r="BW245" s="12">
        <f>BO268</f>
        <v>0</v>
      </c>
    </row>
    <row r="246" spans="58:81" x14ac:dyDescent="0.55000000000000004">
      <c r="BK246" s="9" t="s">
        <v>148</v>
      </c>
      <c r="BL246" s="32" cm="1">
        <f t="array" ref="BL246">[1]!PropsSI("T","P",D81*100000,"Q",1,"water")-273.15</f>
        <v>257.43663545633387</v>
      </c>
      <c r="BV246" s="9" t="s">
        <v>151</v>
      </c>
      <c r="BW246" s="12" cm="1">
        <f t="array" ref="BW246">[1]!PropsSI("H","P",BW244*100000,"T",BW242+273.15,"water")/1000</f>
        <v>2957.46033568034</v>
      </c>
    </row>
    <row r="247" spans="58:81" x14ac:dyDescent="0.55000000000000004">
      <c r="BF247" s="154" t="s">
        <v>520</v>
      </c>
      <c r="BG247" s="155"/>
      <c r="BK247" s="9" t="s">
        <v>151</v>
      </c>
      <c r="BL247" s="12" cm="1">
        <f t="array" ref="BL247">[1]!PropsSI("H","T",BL245+273.15,"P",D81*100000,"water")/1000</f>
        <v>3205.6476778196393</v>
      </c>
      <c r="BN247" s="154" t="s">
        <v>520</v>
      </c>
      <c r="BO247" s="155"/>
      <c r="BV247" s="9" t="s">
        <v>196</v>
      </c>
      <c r="BW247" s="12" cm="1">
        <f t="array" ref="BW247">[1]!PropsSI("S","P",BW244*100000,"T",BW242+273.15,"water")/1000</f>
        <v>7.3133867544435196</v>
      </c>
    </row>
    <row r="248" spans="58:81" x14ac:dyDescent="0.55000000000000004">
      <c r="BF248" s="9" t="s">
        <v>4</v>
      </c>
      <c r="BG248" s="12">
        <v>400</v>
      </c>
      <c r="BK248" s="9" t="s">
        <v>13</v>
      </c>
      <c r="BL248" s="22">
        <f>(BG251/3.6*(BO252-BG252))/(BL247-BJ257)*3.6</f>
        <v>0</v>
      </c>
      <c r="BN248" s="9" t="s">
        <v>4</v>
      </c>
      <c r="BO248" s="13">
        <f>BG248</f>
        <v>400</v>
      </c>
      <c r="BV248" s="9" t="s">
        <v>27</v>
      </c>
      <c r="BW248" s="12">
        <f>BW245/3.6*BW246/1000</f>
        <v>0</v>
      </c>
    </row>
    <row r="249" spans="58:81" x14ac:dyDescent="0.55000000000000004">
      <c r="BF249" s="9" t="s">
        <v>148</v>
      </c>
      <c r="BG249" s="12" cm="1">
        <f t="array" ref="BG249">[1]!PropsSI("T","P",BG250*100000,"Q",1,"water")-273.15</f>
        <v>257.43663545633387</v>
      </c>
      <c r="BK249" s="9" t="s">
        <v>27</v>
      </c>
      <c r="BL249" s="22">
        <f>BL248/3.6*BL247/1000</f>
        <v>0</v>
      </c>
      <c r="BN249" s="9" t="s">
        <v>148</v>
      </c>
      <c r="BO249" s="12" cm="1">
        <f t="array" ref="BO249">[1]!PropsSI("T","P",BO250*100000,"Q",1,"water")-273.15</f>
        <v>257.43663545633387</v>
      </c>
    </row>
    <row r="250" spans="58:81" x14ac:dyDescent="0.55000000000000004">
      <c r="BF250" s="9" t="s">
        <v>50</v>
      </c>
      <c r="BG250" s="12">
        <v>45</v>
      </c>
      <c r="BN250" s="9" t="s">
        <v>50</v>
      </c>
      <c r="BO250" s="9">
        <f>BG250</f>
        <v>45</v>
      </c>
    </row>
    <row r="251" spans="58:81" x14ac:dyDescent="0.55000000000000004">
      <c r="BF251" s="9" t="s">
        <v>13</v>
      </c>
      <c r="BG251" s="71">
        <f>BI153</f>
        <v>0</v>
      </c>
      <c r="BN251" s="9" t="s">
        <v>13</v>
      </c>
      <c r="BO251" s="12">
        <f>BG251</f>
        <v>0</v>
      </c>
      <c r="BR251" s="154" t="s">
        <v>479</v>
      </c>
      <c r="BS251" s="155"/>
    </row>
    <row r="252" spans="58:81" x14ac:dyDescent="0.55000000000000004">
      <c r="BF252" s="9" t="s">
        <v>151</v>
      </c>
      <c r="BG252" s="12" cm="1">
        <f t="array" ref="BG252">[1]!PropsSI("H","P",BG250*100000,"T",BG248+273.15,"water")/1000</f>
        <v>3205.6476778196393</v>
      </c>
      <c r="BK252" s="25"/>
      <c r="BN252" s="9" t="s">
        <v>151</v>
      </c>
      <c r="BO252" s="12" cm="1">
        <f t="array" ref="BO252">[1]!PropsSI("H","P",BO250*100000,"T",BO248+273.15,"water")/1000</f>
        <v>3205.6476778196393</v>
      </c>
      <c r="BR252" s="9" t="s">
        <v>4</v>
      </c>
      <c r="BS252" s="22" cm="1">
        <f t="array" ref="BS252">[1]!PropsSI("T","Q",0,"P",D81*100000,"water")-273.15</f>
        <v>257.43663545633387</v>
      </c>
      <c r="BT252" s="35" t="s">
        <v>480</v>
      </c>
    </row>
    <row r="253" spans="58:81" x14ac:dyDescent="0.55000000000000004">
      <c r="BF253" s="9" t="s">
        <v>196</v>
      </c>
      <c r="BG253" s="12" cm="1">
        <f t="array" ref="BG253">[1]!PropsSI("S","P",BG250*100000,"T",BG248+273.15,"water")/1000</f>
        <v>6.7070450176058172</v>
      </c>
      <c r="BN253" s="9" t="s">
        <v>196</v>
      </c>
      <c r="BO253" s="22" cm="1">
        <f t="array" ref="BO253">[1]!PropsSI("S","P",BO250*100000,"T",BO248+273.15,"water")/1000</f>
        <v>6.7070450176058172</v>
      </c>
      <c r="BR253" s="9" t="s">
        <v>151</v>
      </c>
      <c r="BS253" s="22" cm="1">
        <f t="array" ref="BS253">[1]!PropsSI("H","Q",0,"P",D81*100000,"water")/1000</f>
        <v>1122.2481100287887</v>
      </c>
    </row>
    <row r="254" spans="58:81" x14ac:dyDescent="0.55000000000000004">
      <c r="BR254" s="9" t="s">
        <v>13</v>
      </c>
      <c r="BS254" s="22">
        <f>BS240</f>
        <v>0</v>
      </c>
      <c r="CA254" s="19" t="s">
        <v>195</v>
      </c>
      <c r="CB254" s="9"/>
      <c r="CC254" s="22">
        <f>BP257+CA258</f>
        <v>0</v>
      </c>
    </row>
    <row r="255" spans="58:81" x14ac:dyDescent="0.55000000000000004">
      <c r="BI255" s="154" t="s">
        <v>479</v>
      </c>
      <c r="BJ255" s="155"/>
      <c r="BR255" s="9" t="s">
        <v>27</v>
      </c>
      <c r="BS255" s="22">
        <f>BS254/3.6*BS253/1000</f>
        <v>0</v>
      </c>
    </row>
    <row r="256" spans="58:81" x14ac:dyDescent="0.55000000000000004">
      <c r="BI256" s="9" t="s">
        <v>4</v>
      </c>
      <c r="BJ256" s="22">
        <f>BG248+10</f>
        <v>410</v>
      </c>
    </row>
    <row r="257" spans="58:80" x14ac:dyDescent="0.55000000000000004">
      <c r="BI257" s="9" t="s">
        <v>151</v>
      </c>
      <c r="BJ257" s="22" cm="1">
        <f t="array" ref="BJ257">[1]!PropsSI("H","T",BJ256+273.15,"P",D81*100000,"water")/1000</f>
        <v>3229.6742314366643</v>
      </c>
      <c r="BO257" s="19" t="s">
        <v>197</v>
      </c>
      <c r="BP257" s="12">
        <f>BO251/3.6*(BO252-BO269)/1000</f>
        <v>0</v>
      </c>
    </row>
    <row r="258" spans="58:80" x14ac:dyDescent="0.55000000000000004">
      <c r="BI258" s="9" t="s">
        <v>13</v>
      </c>
      <c r="BJ258" s="22">
        <f>BL248</f>
        <v>0</v>
      </c>
      <c r="BZ258" s="19" t="s">
        <v>197</v>
      </c>
      <c r="CA258" s="12">
        <f>BW245/3.6*(BW246-BW271)/1000</f>
        <v>0</v>
      </c>
    </row>
    <row r="259" spans="58:80" x14ac:dyDescent="0.55000000000000004">
      <c r="BI259" s="9" t="s">
        <v>27</v>
      </c>
      <c r="BJ259" s="22">
        <f>BJ258/3.6*BJ257/1000</f>
        <v>0</v>
      </c>
    </row>
    <row r="262" spans="58:80" x14ac:dyDescent="0.55000000000000004">
      <c r="BK262" t="s">
        <v>200</v>
      </c>
      <c r="BL262" s="4">
        <v>0.75</v>
      </c>
      <c r="BV262" t="s">
        <v>200</v>
      </c>
      <c r="BW262" s="4">
        <v>0.65</v>
      </c>
      <c r="BX262" s="35" t="s">
        <v>482</v>
      </c>
    </row>
    <row r="264" spans="58:80" x14ac:dyDescent="0.55000000000000004">
      <c r="BN264" s="68" t="s">
        <v>210</v>
      </c>
      <c r="BO264" s="68"/>
    </row>
    <row r="265" spans="58:80" x14ac:dyDescent="0.55000000000000004">
      <c r="BF265" s="35" t="s">
        <v>522</v>
      </c>
      <c r="BN265" s="9" t="s">
        <v>4</v>
      </c>
      <c r="BO265" s="12" cm="1">
        <f t="array" ref="BO265">[1]!PropsSI("T","P",BO267*100000,"H",BO269*1000,"water")-273.15</f>
        <v>178.32278548253487</v>
      </c>
      <c r="BV265" s="147" t="s">
        <v>204</v>
      </c>
      <c r="BW265" s="147"/>
    </row>
    <row r="266" spans="58:80" x14ac:dyDescent="0.55000000000000004">
      <c r="BN266" s="9" t="s">
        <v>148</v>
      </c>
      <c r="BO266" s="12" cm="1">
        <f t="array" ref="BO266">[1]!PropsSI("T","P",BO267*100000,"Q",1,"water")-273.15</f>
        <v>147.90339916177226</v>
      </c>
      <c r="BV266" s="9" t="s">
        <v>4</v>
      </c>
      <c r="BW266" s="12" cm="1">
        <f t="array" ref="BW266">[1]!PropsSI("T","P",BW268*100000,"H",BW270*1000,"water")-273.15</f>
        <v>45.806328923937826</v>
      </c>
    </row>
    <row r="267" spans="58:80" x14ac:dyDescent="0.55000000000000004">
      <c r="BN267" s="9" t="s">
        <v>50</v>
      </c>
      <c r="BO267" s="71">
        <v>4.5</v>
      </c>
      <c r="BV267" s="9" t="s">
        <v>148</v>
      </c>
      <c r="BW267" s="12" cm="1">
        <f t="array" ref="BW267">[1]!PropsSI("T","P",BW268*100000,"Q",1,"water")-273.15</f>
        <v>45.806328923937826</v>
      </c>
    </row>
    <row r="268" spans="58:80" x14ac:dyDescent="0.55000000000000004">
      <c r="BN268" s="9" t="s">
        <v>13</v>
      </c>
      <c r="BO268" s="12">
        <f>BO251</f>
        <v>0</v>
      </c>
      <c r="BU268" t="s">
        <v>358</v>
      </c>
      <c r="BV268" s="9" t="s">
        <v>50</v>
      </c>
      <c r="BW268" s="71">
        <v>0.1</v>
      </c>
    </row>
    <row r="269" spans="58:80" x14ac:dyDescent="0.55000000000000004">
      <c r="BN269" s="9" t="s">
        <v>211</v>
      </c>
      <c r="BO269" s="12">
        <f>-(BL262*(BO252-BO270)-BO252)</f>
        <v>2811.9037128118453</v>
      </c>
      <c r="BV269" s="9" t="s">
        <v>13</v>
      </c>
      <c r="BW269" s="12">
        <f>BW245</f>
        <v>0</v>
      </c>
      <c r="CB269" s="2"/>
    </row>
    <row r="270" spans="58:80" x14ac:dyDescent="0.55000000000000004">
      <c r="BN270" s="9" t="s">
        <v>214</v>
      </c>
      <c r="BO270" s="12" cm="1">
        <f t="array" ref="BO270">[1]!PropsSI("H","P",BO267*100000,"S",BO253*1000,"water")/1000</f>
        <v>2680.6557244759138</v>
      </c>
      <c r="BV270" s="9" t="s">
        <v>211</v>
      </c>
      <c r="BW270" s="12">
        <f>-(BW262*(BW246-BW271)-BW246)</f>
        <v>2541.4158451892185</v>
      </c>
      <c r="BX270" t="s">
        <v>212</v>
      </c>
    </row>
    <row r="271" spans="58:80" x14ac:dyDescent="0.55000000000000004">
      <c r="BN271" s="9" t="s">
        <v>27</v>
      </c>
      <c r="BO271" s="12">
        <f>BO268/3.6*BO269/1000</f>
        <v>0</v>
      </c>
      <c r="BV271" s="9" t="s">
        <v>214</v>
      </c>
      <c r="BW271" s="12" cm="1">
        <f t="array" ref="BW271">[1]!PropsSI("H","P",BW268*100000,"S",BW247*1000,"water")/1000</f>
        <v>2317.3918887709224</v>
      </c>
    </row>
    <row r="272" spans="58:80" x14ac:dyDescent="0.55000000000000004">
      <c r="BN272" s="17" t="s">
        <v>39</v>
      </c>
      <c r="BO272" s="73" cm="1">
        <f t="array" ref="BO272">[1]!PropsSI("Q","P",BO267*100000,"H",BO269*1000,"water")</f>
        <v>-1</v>
      </c>
      <c r="BV272" s="9" t="s">
        <v>27</v>
      </c>
      <c r="BW272" s="12">
        <f>BW269/3.6*BW270/1000</f>
        <v>0</v>
      </c>
      <c r="CB272" s="2"/>
    </row>
    <row r="273" spans="71:75" x14ac:dyDescent="0.55000000000000004">
      <c r="BV273" s="17" t="s">
        <v>39</v>
      </c>
      <c r="BW273" s="73" cm="1">
        <f t="array" ref="BW273">[1]!PropsSI("Q","P",BW268*100000,"H",BW270*1000,"water")</f>
        <v>0.98225673451125139</v>
      </c>
    </row>
    <row r="282" spans="71:75" x14ac:dyDescent="0.55000000000000004">
      <c r="BV282" s="154" t="s">
        <v>445</v>
      </c>
      <c r="BW282" s="155"/>
    </row>
    <row r="283" spans="71:75" x14ac:dyDescent="0.55000000000000004">
      <c r="BV283" s="9" t="s">
        <v>4</v>
      </c>
      <c r="BW283" s="13">
        <v>26.5</v>
      </c>
    </row>
    <row r="284" spans="71:75" x14ac:dyDescent="0.55000000000000004">
      <c r="BV284" s="9" t="s">
        <v>17</v>
      </c>
      <c r="BW284" s="12" cm="1">
        <f t="array" ref="BW284">[1]!PropsSI("H","T",BW283+273.15,"P",4*100000,"water")/1000</f>
        <v>111.46691957942043</v>
      </c>
    </row>
    <row r="285" spans="71:75" x14ac:dyDescent="0.55000000000000004">
      <c r="BV285" s="9" t="s">
        <v>66</v>
      </c>
      <c r="BW285" s="12" cm="1">
        <f t="array" ref="BW285">(BW286/3.6)/[1]!PropsSI("D","P",4*100000,"T",BW283+273.15,"water")*60*1000</f>
        <v>0</v>
      </c>
    </row>
    <row r="286" spans="71:75" x14ac:dyDescent="0.55000000000000004">
      <c r="BV286" s="9" t="s">
        <v>13</v>
      </c>
      <c r="BW286" s="12">
        <f>(BS294-BY294)*1000/(BV299-BW284)*3.6</f>
        <v>0</v>
      </c>
    </row>
    <row r="287" spans="71:75" x14ac:dyDescent="0.55000000000000004">
      <c r="BS287" s="16" t="s">
        <v>501</v>
      </c>
      <c r="BT287" s="16">
        <f>BV302-BW287</f>
        <v>0</v>
      </c>
      <c r="BV287" s="9" t="s">
        <v>27</v>
      </c>
      <c r="BW287" s="12">
        <f>BW286/3.6*BW284/1000</f>
        <v>0</v>
      </c>
    </row>
    <row r="289" spans="70:77" x14ac:dyDescent="0.55000000000000004">
      <c r="BX289" s="154" t="s">
        <v>447</v>
      </c>
      <c r="BY289" s="155"/>
    </row>
    <row r="290" spans="70:77" x14ac:dyDescent="0.55000000000000004">
      <c r="BX290" s="9" t="s">
        <v>4</v>
      </c>
      <c r="BY290" s="12">
        <f>BS292-1</f>
        <v>177.32278548253487</v>
      </c>
    </row>
    <row r="291" spans="70:77" x14ac:dyDescent="0.55000000000000004">
      <c r="BR291" s="154" t="s">
        <v>446</v>
      </c>
      <c r="BS291" s="155"/>
      <c r="BX291" s="9" t="s">
        <v>17</v>
      </c>
      <c r="BY291" s="12" cm="1">
        <f t="array" ref="BY291">[1]!PropsSI("H","T",BY290+273.15,"P",BO267*100000,"water")/1000</f>
        <v>2809.7264694123455</v>
      </c>
    </row>
    <row r="292" spans="70:77" x14ac:dyDescent="0.55000000000000004">
      <c r="BR292" s="9" t="s">
        <v>4</v>
      </c>
      <c r="BS292" s="12">
        <f>BO265</f>
        <v>178.32278548253487</v>
      </c>
      <c r="BX292" s="9" t="s">
        <v>66</v>
      </c>
      <c r="BY292" s="12" cm="1">
        <f t="array" ref="BY292">(BY293/3.6)/[1]!PropsSI("D","P",1*100000,"T",BY290+273.15,"water")*60*1000</f>
        <v>0</v>
      </c>
    </row>
    <row r="293" spans="70:77" x14ac:dyDescent="0.55000000000000004">
      <c r="BR293" s="9" t="s">
        <v>13</v>
      </c>
      <c r="BS293" s="12">
        <f>BO268</f>
        <v>0</v>
      </c>
      <c r="BX293" s="9" t="s">
        <v>13</v>
      </c>
      <c r="BY293" s="12">
        <f>BS293</f>
        <v>0</v>
      </c>
    </row>
    <row r="294" spans="70:77" x14ac:dyDescent="0.55000000000000004">
      <c r="BR294" s="9" t="s">
        <v>27</v>
      </c>
      <c r="BS294" s="12">
        <f>BO271</f>
        <v>0</v>
      </c>
      <c r="BX294" s="9" t="s">
        <v>27</v>
      </c>
      <c r="BY294" s="12">
        <f>BY293/3.6*BY291/1000</f>
        <v>0</v>
      </c>
    </row>
    <row r="297" spans="70:77" x14ac:dyDescent="0.55000000000000004">
      <c r="BU297" s="154" t="s">
        <v>445</v>
      </c>
      <c r="BV297" s="155"/>
      <c r="BX297" t="s">
        <v>448</v>
      </c>
    </row>
    <row r="298" spans="70:77" x14ac:dyDescent="0.55000000000000004">
      <c r="BU298" s="9" t="s">
        <v>4</v>
      </c>
      <c r="BV298" s="13">
        <v>43</v>
      </c>
    </row>
    <row r="299" spans="70:77" x14ac:dyDescent="0.55000000000000004">
      <c r="BU299" s="9" t="s">
        <v>17</v>
      </c>
      <c r="BV299" s="22" cm="1">
        <f t="array" ref="BV299">[1]!PropsSI("H","T",BV298+273.15,"P",4*100000,"water")/1000</f>
        <v>180.41752417127128</v>
      </c>
    </row>
    <row r="300" spans="70:77" x14ac:dyDescent="0.55000000000000004">
      <c r="BU300" s="9" t="s">
        <v>66</v>
      </c>
      <c r="BV300" s="12" cm="1">
        <f t="array" ref="BV300">(BV301/3.6)/[1]!PropsSI("D","P",4*100000,"T",BV298+273.15,"water")*60*1000</f>
        <v>0</v>
      </c>
    </row>
    <row r="301" spans="70:77" x14ac:dyDescent="0.55000000000000004">
      <c r="BU301" s="9" t="s">
        <v>13</v>
      </c>
      <c r="BV301" s="12">
        <f>BW286</f>
        <v>0</v>
      </c>
    </row>
    <row r="302" spans="70:77" x14ac:dyDescent="0.55000000000000004">
      <c r="BU302" s="9" t="s">
        <v>27</v>
      </c>
      <c r="BV302" s="12">
        <f>BV301/3.6*BV299/1000</f>
        <v>0</v>
      </c>
    </row>
  </sheetData>
  <mergeCells count="178">
    <mergeCell ref="BV282:BW282"/>
    <mergeCell ref="BX289:BY289"/>
    <mergeCell ref="BR291:BS291"/>
    <mergeCell ref="BU297:BV297"/>
    <mergeCell ref="BV265:BW265"/>
    <mergeCell ref="BR237:BS237"/>
    <mergeCell ref="BR251:BS251"/>
    <mergeCell ref="BV241:BW241"/>
    <mergeCell ref="Z22:AA22"/>
    <mergeCell ref="AB32:AC32"/>
    <mergeCell ref="AU32:AV32"/>
    <mergeCell ref="AZ32:BA32"/>
    <mergeCell ref="BD32:BE32"/>
    <mergeCell ref="AE39:AF39"/>
    <mergeCell ref="AW58:AX58"/>
    <mergeCell ref="BH35:BJ35"/>
    <mergeCell ref="BN168:BO168"/>
    <mergeCell ref="AI125:AJ125"/>
    <mergeCell ref="AH140:AI140"/>
    <mergeCell ref="AE134:AF134"/>
    <mergeCell ref="AK132:AL132"/>
    <mergeCell ref="Y95:Z95"/>
    <mergeCell ref="BV103:BW103"/>
    <mergeCell ref="BL82:BM82"/>
    <mergeCell ref="K44:L44"/>
    <mergeCell ref="E110:F110"/>
    <mergeCell ref="H45:I45"/>
    <mergeCell ref="C41:D41"/>
    <mergeCell ref="K32:L32"/>
    <mergeCell ref="C152:D152"/>
    <mergeCell ref="O144:P144"/>
    <mergeCell ref="G114:H114"/>
    <mergeCell ref="C120:D120"/>
    <mergeCell ref="O125:P125"/>
    <mergeCell ref="I125:J125"/>
    <mergeCell ref="I145:J145"/>
    <mergeCell ref="I134:J134"/>
    <mergeCell ref="X53:AC53"/>
    <mergeCell ref="AO53:AS53"/>
    <mergeCell ref="G8:H8"/>
    <mergeCell ref="L18:M18"/>
    <mergeCell ref="B23:D23"/>
    <mergeCell ref="M89:P89"/>
    <mergeCell ref="L108:O108"/>
    <mergeCell ref="N45:O45"/>
    <mergeCell ref="G141:H141"/>
    <mergeCell ref="C45:D45"/>
    <mergeCell ref="C79:D79"/>
    <mergeCell ref="H69:I69"/>
    <mergeCell ref="D59:E59"/>
    <mergeCell ref="C14:D14"/>
    <mergeCell ref="M83:N83"/>
    <mergeCell ref="E36:F36"/>
    <mergeCell ref="G15:H15"/>
    <mergeCell ref="G54:H54"/>
    <mergeCell ref="O54:P54"/>
    <mergeCell ref="N116:O116"/>
    <mergeCell ref="M61:N61"/>
    <mergeCell ref="G105:H105"/>
    <mergeCell ref="O32:P32"/>
    <mergeCell ref="D66:E66"/>
    <mergeCell ref="U57:V57"/>
    <mergeCell ref="AR83:AS83"/>
    <mergeCell ref="AT69:AU69"/>
    <mergeCell ref="Q72:R72"/>
    <mergeCell ref="AH72:AI72"/>
    <mergeCell ref="L69:M69"/>
    <mergeCell ref="Y69:Z69"/>
    <mergeCell ref="AC69:AD69"/>
    <mergeCell ref="AP69:AQ69"/>
    <mergeCell ref="AH62:AI62"/>
    <mergeCell ref="U66:V66"/>
    <mergeCell ref="BR21:BS21"/>
    <mergeCell ref="BT21:BU21"/>
    <mergeCell ref="BV21:BW21"/>
    <mergeCell ref="BX17:BY17"/>
    <mergeCell ref="BZ17:CA17"/>
    <mergeCell ref="BD15:BF15"/>
    <mergeCell ref="BD16:BF16"/>
    <mergeCell ref="BZ18:CA18"/>
    <mergeCell ref="V14:W14"/>
    <mergeCell ref="AF14:AG14"/>
    <mergeCell ref="BD14:BF14"/>
    <mergeCell ref="BD17:BF17"/>
    <mergeCell ref="BR17:BS17"/>
    <mergeCell ref="BT17:BU17"/>
    <mergeCell ref="BV17:BW17"/>
    <mergeCell ref="BX21:BY21"/>
    <mergeCell ref="BZ21:CA21"/>
    <mergeCell ref="AR20:AS20"/>
    <mergeCell ref="BD20:BF20"/>
    <mergeCell ref="BR20:BS20"/>
    <mergeCell ref="BT20:BU20"/>
    <mergeCell ref="BV20:BW20"/>
    <mergeCell ref="BX20:BY20"/>
    <mergeCell ref="BX19:BY19"/>
    <mergeCell ref="BZ19:CA19"/>
    <mergeCell ref="V18:W18"/>
    <mergeCell ref="AE18:AF18"/>
    <mergeCell ref="BR18:BS18"/>
    <mergeCell ref="BT18:BU18"/>
    <mergeCell ref="BV18:BW18"/>
    <mergeCell ref="BX18:BY18"/>
    <mergeCell ref="BZ20:CA20"/>
    <mergeCell ref="BR19:BS19"/>
    <mergeCell ref="BT19:BU19"/>
    <mergeCell ref="BV19:BW19"/>
    <mergeCell ref="U28:V28"/>
    <mergeCell ref="AK46:AL46"/>
    <mergeCell ref="BD21:BF21"/>
    <mergeCell ref="BH38:BJ38"/>
    <mergeCell ref="U36:V36"/>
    <mergeCell ref="BH36:BJ36"/>
    <mergeCell ref="U43:V43"/>
    <mergeCell ref="AU43:AV43"/>
    <mergeCell ref="X44:Y44"/>
    <mergeCell ref="AB44:AC44"/>
    <mergeCell ref="BH41:BJ41"/>
    <mergeCell ref="AO42:AP42"/>
    <mergeCell ref="BH42:BJ42"/>
    <mergeCell ref="BH39:BJ39"/>
    <mergeCell ref="BH33:BJ33"/>
    <mergeCell ref="BH34:BJ34"/>
    <mergeCell ref="AJ35:AK35"/>
    <mergeCell ref="V22:W22"/>
    <mergeCell ref="BD22:BF22"/>
    <mergeCell ref="BH32:BJ32"/>
    <mergeCell ref="P5:Q5"/>
    <mergeCell ref="AV5:AZ5"/>
    <mergeCell ref="BD5:BG5"/>
    <mergeCell ref="BD6:BF6"/>
    <mergeCell ref="X7:Y7"/>
    <mergeCell ref="AA7:AB7"/>
    <mergeCell ref="BD7:BF7"/>
    <mergeCell ref="BH113:BI113"/>
    <mergeCell ref="AB13:AC13"/>
    <mergeCell ref="R49:S49"/>
    <mergeCell ref="AL67:AM67"/>
    <mergeCell ref="O101:P101"/>
    <mergeCell ref="AP102:AQ102"/>
    <mergeCell ref="BD10:BF10"/>
    <mergeCell ref="BD12:BF12"/>
    <mergeCell ref="BD8:BF8"/>
    <mergeCell ref="BD9:BF9"/>
    <mergeCell ref="BD13:BF13"/>
    <mergeCell ref="BD49:BE49"/>
    <mergeCell ref="BD75:BE75"/>
    <mergeCell ref="BI99:BK99"/>
    <mergeCell ref="BH85:BI85"/>
    <mergeCell ref="AY72:AZ72"/>
    <mergeCell ref="Z86:AB86"/>
    <mergeCell ref="BV127:BW127"/>
    <mergeCell ref="BN132:BO132"/>
    <mergeCell ref="Z158:AB158"/>
    <mergeCell ref="AN109:AO109"/>
    <mergeCell ref="AP113:AQ113"/>
    <mergeCell ref="BR99:BS99"/>
    <mergeCell ref="BR113:BS113"/>
    <mergeCell ref="Z126:AB126"/>
    <mergeCell ref="X136:Y136"/>
    <mergeCell ref="BI255:BJ255"/>
    <mergeCell ref="BN247:BO247"/>
    <mergeCell ref="BF247:BG247"/>
    <mergeCell ref="P160:Q160"/>
    <mergeCell ref="AK85:AL85"/>
    <mergeCell ref="AE85:AF85"/>
    <mergeCell ref="AG108:AH108"/>
    <mergeCell ref="BH149:BI149"/>
    <mergeCell ref="AP86:AQ86"/>
    <mergeCell ref="AU87:AV87"/>
    <mergeCell ref="R104:S104"/>
    <mergeCell ref="S111:T111"/>
    <mergeCell ref="T92:U92"/>
    <mergeCell ref="BD202:BE202"/>
    <mergeCell ref="BD210:BE210"/>
    <mergeCell ref="U145:V145"/>
    <mergeCell ref="AN92:AO92"/>
    <mergeCell ref="AF92:AG92"/>
  </mergeCells>
  <pageMargins left="0.25" right="0.25" top="0.75" bottom="0.75" header="0.3" footer="0.3"/>
  <pageSetup paperSize="8" scale="2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231AD-D733-4893-9FF7-B3CDFF2BCDBC}">
  <dimension ref="B3:Y34"/>
  <sheetViews>
    <sheetView topLeftCell="L1" workbookViewId="0">
      <selection activeCell="X8" sqref="X8"/>
    </sheetView>
  </sheetViews>
  <sheetFormatPr defaultRowHeight="14.4" x14ac:dyDescent="0.55000000000000004"/>
  <cols>
    <col min="2" max="2" width="17.68359375" bestFit="1" customWidth="1"/>
    <col min="3" max="3" width="10.41796875" customWidth="1"/>
    <col min="4" max="4" width="10.578125" bestFit="1" customWidth="1"/>
    <col min="12" max="12" width="14.68359375" bestFit="1" customWidth="1"/>
    <col min="13" max="13" width="23" bestFit="1" customWidth="1"/>
    <col min="14" max="14" width="13.578125" bestFit="1" customWidth="1"/>
    <col min="15" max="15" width="17" bestFit="1" customWidth="1"/>
    <col min="16" max="16" width="23.68359375" bestFit="1" customWidth="1"/>
    <col min="17" max="17" width="26.15625" bestFit="1" customWidth="1"/>
    <col min="18" max="18" width="23" bestFit="1" customWidth="1"/>
    <col min="19" max="19" width="13.578125" bestFit="1" customWidth="1"/>
    <col min="20" max="20" width="14.15625" bestFit="1" customWidth="1"/>
    <col min="23" max="23" width="11.578125" bestFit="1" customWidth="1"/>
  </cols>
  <sheetData>
    <row r="3" spans="2:25" x14ac:dyDescent="0.55000000000000004">
      <c r="B3" s="171" t="s">
        <v>547</v>
      </c>
      <c r="C3" s="172"/>
      <c r="D3" s="172"/>
      <c r="E3" s="172"/>
      <c r="F3" s="172"/>
      <c r="G3" s="172"/>
      <c r="H3" s="172"/>
      <c r="L3" s="19" t="s">
        <v>563</v>
      </c>
      <c r="M3" s="19" t="s">
        <v>565</v>
      </c>
      <c r="N3" s="19" t="s">
        <v>564</v>
      </c>
      <c r="O3" s="19" t="s">
        <v>551</v>
      </c>
      <c r="P3" s="19" t="s">
        <v>581</v>
      </c>
      <c r="Q3" s="19" t="s">
        <v>631</v>
      </c>
      <c r="R3" s="19" t="s">
        <v>580</v>
      </c>
      <c r="S3" s="19" t="s">
        <v>566</v>
      </c>
      <c r="T3" s="19" t="s">
        <v>567</v>
      </c>
      <c r="U3" s="126" t="s">
        <v>632</v>
      </c>
      <c r="W3" s="149" t="s">
        <v>578</v>
      </c>
      <c r="X3" s="149"/>
      <c r="Y3" s="149"/>
    </row>
    <row r="4" spans="2:25" ht="15" customHeight="1" x14ac:dyDescent="0.55000000000000004">
      <c r="B4" s="19" t="s">
        <v>549</v>
      </c>
      <c r="C4" t="s">
        <v>634</v>
      </c>
      <c r="D4" s="19" t="s">
        <v>613</v>
      </c>
      <c r="E4" s="19" t="s">
        <v>617</v>
      </c>
      <c r="F4" s="19" t="s">
        <v>619</v>
      </c>
      <c r="G4" s="19" t="s">
        <v>618</v>
      </c>
      <c r="H4" s="126" t="s">
        <v>627</v>
      </c>
      <c r="I4" s="19" t="s">
        <v>627</v>
      </c>
      <c r="J4" s="19" t="s">
        <v>628</v>
      </c>
      <c r="L4" s="19" t="s">
        <v>613</v>
      </c>
      <c r="M4" s="89">
        <f>D10</f>
        <v>4701</v>
      </c>
      <c r="N4" s="89">
        <f t="shared" ref="N4:N11" si="0">M4*$X$5</f>
        <v>105067.35</v>
      </c>
      <c r="O4" s="12">
        <v>35</v>
      </c>
      <c r="P4" s="13">
        <f>33.4+36.3</f>
        <v>69.699999999999989</v>
      </c>
      <c r="Q4" s="12">
        <f t="shared" ref="Q4:Q11" si="1">P4-O4</f>
        <v>34.699999999999989</v>
      </c>
      <c r="R4" s="89">
        <f t="shared" ref="R4:R11" si="2">(Q4)*24*$X$4</f>
        <v>149903.99999999994</v>
      </c>
      <c r="S4" s="105">
        <f t="shared" ref="S4:S11" si="3">N4+R4</f>
        <v>254971.34999999995</v>
      </c>
      <c r="T4" s="106">
        <f t="shared" ref="T4:T11" si="4">S4*325</f>
        <v>82865688.749999985</v>
      </c>
      <c r="U4" s="16">
        <f>S4/(2000)</f>
        <v>127.48567499999997</v>
      </c>
      <c r="W4" s="19" t="s">
        <v>579</v>
      </c>
      <c r="X4" s="9">
        <v>180</v>
      </c>
      <c r="Y4" s="9" t="s">
        <v>560</v>
      </c>
    </row>
    <row r="5" spans="2:25" x14ac:dyDescent="0.55000000000000004">
      <c r="B5" s="19" t="s">
        <v>620</v>
      </c>
      <c r="D5" s="89">
        <v>0</v>
      </c>
      <c r="E5" s="89">
        <v>1248</v>
      </c>
      <c r="F5" s="89">
        <v>0</v>
      </c>
      <c r="G5" s="89">
        <v>0</v>
      </c>
      <c r="H5" s="89">
        <f>E5</f>
        <v>1248</v>
      </c>
      <c r="I5" s="89">
        <f>E5</f>
        <v>1248</v>
      </c>
      <c r="J5" s="89">
        <f>52*24</f>
        <v>1248</v>
      </c>
      <c r="L5" s="19" t="str">
        <f>E4</f>
        <v>1000 ADT/d</v>
      </c>
      <c r="M5" s="89">
        <f>E10</f>
        <v>5644</v>
      </c>
      <c r="N5" s="89">
        <f t="shared" si="0"/>
        <v>126143.40000000001</v>
      </c>
      <c r="O5" s="12">
        <v>18</v>
      </c>
      <c r="P5" s="13">
        <v>32.5</v>
      </c>
      <c r="Q5" s="12">
        <f t="shared" si="1"/>
        <v>14.5</v>
      </c>
      <c r="R5" s="89">
        <f t="shared" si="2"/>
        <v>62640</v>
      </c>
      <c r="S5" s="105">
        <f t="shared" si="3"/>
        <v>188783.40000000002</v>
      </c>
      <c r="T5" s="106">
        <f t="shared" si="4"/>
        <v>61354605.000000007</v>
      </c>
      <c r="U5" s="16">
        <f>S5/(1000)</f>
        <v>188.78340000000003</v>
      </c>
      <c r="W5" s="19" t="s">
        <v>133</v>
      </c>
      <c r="X5" s="9">
        <v>22.35</v>
      </c>
      <c r="Y5" s="9" t="s">
        <v>562</v>
      </c>
    </row>
    <row r="6" spans="2:25" x14ac:dyDescent="0.55000000000000004">
      <c r="B6" s="19" t="s">
        <v>621</v>
      </c>
      <c r="D6" s="89">
        <v>0</v>
      </c>
      <c r="E6" s="89">
        <v>0</v>
      </c>
      <c r="F6" s="89">
        <v>0</v>
      </c>
      <c r="G6" s="89">
        <v>92</v>
      </c>
      <c r="H6" s="89">
        <v>0</v>
      </c>
      <c r="I6" s="89">
        <v>0</v>
      </c>
      <c r="J6" s="89">
        <v>0</v>
      </c>
      <c r="L6" s="19" t="str">
        <f>F19</f>
        <v>700 ADT/d</v>
      </c>
      <c r="M6" s="89">
        <f>F10</f>
        <v>5105</v>
      </c>
      <c r="N6" s="89">
        <f t="shared" si="0"/>
        <v>114096.75</v>
      </c>
      <c r="O6" s="12">
        <v>16</v>
      </c>
      <c r="P6" s="13">
        <v>26</v>
      </c>
      <c r="Q6" s="12">
        <f t="shared" si="1"/>
        <v>10</v>
      </c>
      <c r="R6" s="89">
        <f t="shared" si="2"/>
        <v>43200</v>
      </c>
      <c r="S6" s="105">
        <f t="shared" si="3"/>
        <v>157296.75</v>
      </c>
      <c r="T6" s="106">
        <f t="shared" si="4"/>
        <v>51121443.75</v>
      </c>
      <c r="U6" s="16">
        <f>S6/(700)</f>
        <v>224.70964285714285</v>
      </c>
    </row>
    <row r="7" spans="2:25" x14ac:dyDescent="0.55000000000000004">
      <c r="B7" s="19" t="s">
        <v>622</v>
      </c>
      <c r="D7" s="89">
        <f>34*24</f>
        <v>816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L7" s="19" t="s">
        <v>618</v>
      </c>
      <c r="M7" s="89">
        <f>G10</f>
        <v>7241</v>
      </c>
      <c r="N7" s="89">
        <f t="shared" si="0"/>
        <v>161836.35</v>
      </c>
      <c r="O7" s="12">
        <v>14.3</v>
      </c>
      <c r="P7" s="13">
        <v>19.5</v>
      </c>
      <c r="Q7" s="12">
        <f t="shared" si="1"/>
        <v>5.1999999999999993</v>
      </c>
      <c r="R7" s="89">
        <f t="shared" si="2"/>
        <v>22463.999999999996</v>
      </c>
      <c r="S7" s="105">
        <f t="shared" si="3"/>
        <v>184300.35</v>
      </c>
      <c r="T7" s="106">
        <f t="shared" si="4"/>
        <v>59897613.75</v>
      </c>
      <c r="U7" s="16">
        <f>S7/(500)</f>
        <v>368.60070000000002</v>
      </c>
    </row>
    <row r="8" spans="2:25" x14ac:dyDescent="0.55000000000000004">
      <c r="B8" s="19" t="s">
        <v>623</v>
      </c>
      <c r="D8" s="89">
        <v>3532</v>
      </c>
      <c r="E8" s="89">
        <v>4043</v>
      </c>
      <c r="F8" s="89">
        <f>198*24</f>
        <v>4752</v>
      </c>
      <c r="G8" s="89">
        <v>6796</v>
      </c>
      <c r="H8" s="89">
        <f>146*24</f>
        <v>3504</v>
      </c>
      <c r="I8" s="89">
        <f>146*24</f>
        <v>3504</v>
      </c>
      <c r="J8" s="89">
        <f>42*24</f>
        <v>1008</v>
      </c>
      <c r="L8" s="19" t="str">
        <f>I4</f>
        <v>1000 ADT/d Vent</v>
      </c>
      <c r="M8" s="89">
        <f>I10</f>
        <v>5105</v>
      </c>
      <c r="N8" s="89">
        <f t="shared" si="0"/>
        <v>114096.75</v>
      </c>
      <c r="O8" s="12">
        <v>23</v>
      </c>
      <c r="P8" s="13">
        <v>32.5</v>
      </c>
      <c r="Q8" s="12">
        <f t="shared" si="1"/>
        <v>9.5</v>
      </c>
      <c r="R8" s="89">
        <f t="shared" si="2"/>
        <v>41040</v>
      </c>
      <c r="S8" s="105">
        <f t="shared" si="3"/>
        <v>155136.75</v>
      </c>
      <c r="T8" s="106">
        <f t="shared" si="4"/>
        <v>50419443.75</v>
      </c>
      <c r="U8" s="16">
        <f>S8/(1000)</f>
        <v>155.13675000000001</v>
      </c>
    </row>
    <row r="9" spans="2:25" x14ac:dyDescent="0.55000000000000004">
      <c r="B9" s="19" t="s">
        <v>624</v>
      </c>
      <c r="D9" s="103">
        <v>353</v>
      </c>
      <c r="E9" s="103">
        <v>353</v>
      </c>
      <c r="F9" s="103">
        <v>353</v>
      </c>
      <c r="G9" s="103">
        <v>353</v>
      </c>
      <c r="H9" s="103">
        <v>353</v>
      </c>
      <c r="I9" s="103">
        <v>353</v>
      </c>
      <c r="J9" s="103">
        <v>353</v>
      </c>
      <c r="L9" s="19" t="s">
        <v>629</v>
      </c>
      <c r="M9" s="89">
        <f>J10</f>
        <v>2609</v>
      </c>
      <c r="N9" s="89">
        <f t="shared" si="0"/>
        <v>58311.15</v>
      </c>
      <c r="O9" s="12">
        <f>18.6+7.4</f>
        <v>26</v>
      </c>
      <c r="P9" s="13">
        <v>32.5</v>
      </c>
      <c r="Q9" s="12">
        <f t="shared" si="1"/>
        <v>6.5</v>
      </c>
      <c r="R9" s="89">
        <f t="shared" si="2"/>
        <v>28080</v>
      </c>
      <c r="S9" s="105">
        <f t="shared" si="3"/>
        <v>86391.15</v>
      </c>
      <c r="T9" s="106">
        <f t="shared" si="4"/>
        <v>28077123.749999996</v>
      </c>
      <c r="U9" s="16">
        <f t="shared" ref="U9:U11" si="5">S9/(1000)</f>
        <v>86.391149999999996</v>
      </c>
    </row>
    <row r="10" spans="2:25" x14ac:dyDescent="0.55000000000000004">
      <c r="B10" s="19" t="s">
        <v>561</v>
      </c>
      <c r="D10" s="104">
        <f t="shared" ref="D10:J10" si="6">SUM(D5:D9)</f>
        <v>4701</v>
      </c>
      <c r="E10" s="104">
        <f t="shared" si="6"/>
        <v>5644</v>
      </c>
      <c r="F10" s="104">
        <f t="shared" si="6"/>
        <v>5105</v>
      </c>
      <c r="G10" s="104">
        <f t="shared" si="6"/>
        <v>7241</v>
      </c>
      <c r="H10" s="104">
        <f t="shared" si="6"/>
        <v>5105</v>
      </c>
      <c r="I10" s="104">
        <f t="shared" si="6"/>
        <v>5105</v>
      </c>
      <c r="J10" s="104">
        <f t="shared" si="6"/>
        <v>2609</v>
      </c>
      <c r="L10" s="19" t="s">
        <v>630</v>
      </c>
      <c r="M10" s="89">
        <f>M9</f>
        <v>2609</v>
      </c>
      <c r="N10" s="89">
        <f t="shared" si="0"/>
        <v>58311.15</v>
      </c>
      <c r="O10" s="12">
        <f>18.6+7.4-2.2</f>
        <v>23.8</v>
      </c>
      <c r="P10" s="13">
        <v>32.5</v>
      </c>
      <c r="Q10" s="12">
        <f t="shared" si="1"/>
        <v>8.6999999999999993</v>
      </c>
      <c r="R10" s="89">
        <f t="shared" si="2"/>
        <v>37584</v>
      </c>
      <c r="S10" s="105">
        <f t="shared" si="3"/>
        <v>95895.15</v>
      </c>
      <c r="T10" s="106">
        <f t="shared" si="4"/>
        <v>31165923.749999996</v>
      </c>
      <c r="U10" s="16">
        <f t="shared" si="5"/>
        <v>95.895150000000001</v>
      </c>
    </row>
    <row r="11" spans="2:25" x14ac:dyDescent="0.55000000000000004">
      <c r="B11" s="19" t="s">
        <v>548</v>
      </c>
      <c r="D11" s="125">
        <f t="shared" ref="D11:J11" si="7">D10*$X$5</f>
        <v>105067.35</v>
      </c>
      <c r="E11" s="125">
        <f t="shared" si="7"/>
        <v>126143.40000000001</v>
      </c>
      <c r="F11" s="125">
        <f t="shared" si="7"/>
        <v>114096.75</v>
      </c>
      <c r="G11" s="125">
        <f t="shared" si="7"/>
        <v>161836.35</v>
      </c>
      <c r="H11" s="125">
        <f t="shared" si="7"/>
        <v>114096.75</v>
      </c>
      <c r="I11" s="125">
        <f t="shared" si="7"/>
        <v>114096.75</v>
      </c>
      <c r="J11" s="125">
        <f t="shared" si="7"/>
        <v>58311.15</v>
      </c>
      <c r="L11" s="19" t="s">
        <v>633</v>
      </c>
      <c r="M11" s="89">
        <f>J10</f>
        <v>2609</v>
      </c>
      <c r="N11" s="89">
        <f t="shared" si="0"/>
        <v>58311.15</v>
      </c>
      <c r="O11" s="12">
        <f>20.7+5.9</f>
        <v>26.6</v>
      </c>
      <c r="P11" s="13">
        <v>32.5</v>
      </c>
      <c r="Q11" s="12">
        <f t="shared" si="1"/>
        <v>5.8999999999999986</v>
      </c>
      <c r="R11" s="89">
        <f t="shared" si="2"/>
        <v>25487.999999999993</v>
      </c>
      <c r="S11" s="105">
        <f t="shared" si="3"/>
        <v>83799.149999999994</v>
      </c>
      <c r="T11" s="106">
        <f t="shared" si="4"/>
        <v>27234723.749999996</v>
      </c>
      <c r="U11" s="16">
        <f t="shared" si="5"/>
        <v>83.799149999999997</v>
      </c>
      <c r="W11" s="82">
        <f>U4*2000</f>
        <v>254971.34999999995</v>
      </c>
    </row>
    <row r="12" spans="2:25" x14ac:dyDescent="0.55000000000000004">
      <c r="R12" s="82"/>
      <c r="T12" s="95"/>
    </row>
    <row r="13" spans="2:25" x14ac:dyDescent="0.55000000000000004">
      <c r="B13" s="149" t="s">
        <v>550</v>
      </c>
      <c r="C13" s="149"/>
      <c r="D13" s="149"/>
      <c r="E13" s="149"/>
      <c r="F13" s="149"/>
      <c r="L13" s="31"/>
      <c r="N13" s="82"/>
      <c r="R13" s="82"/>
      <c r="S13" s="96"/>
      <c r="T13" s="95"/>
    </row>
    <row r="14" spans="2:25" ht="15" customHeight="1" x14ac:dyDescent="0.55000000000000004">
      <c r="B14" s="19" t="s">
        <v>549</v>
      </c>
      <c r="C14" t="s">
        <v>634</v>
      </c>
      <c r="D14" s="9">
        <v>1000</v>
      </c>
      <c r="E14" s="9" t="s">
        <v>613</v>
      </c>
      <c r="F14" s="122" t="s">
        <v>575</v>
      </c>
      <c r="G14" s="122" t="s">
        <v>575</v>
      </c>
      <c r="L14" t="s">
        <v>582</v>
      </c>
      <c r="N14" s="82"/>
      <c r="R14" s="82"/>
      <c r="S14" s="96"/>
      <c r="T14" s="95"/>
    </row>
    <row r="15" spans="2:25" x14ac:dyDescent="0.55000000000000004">
      <c r="B15" s="19" t="s">
        <v>551</v>
      </c>
      <c r="D15" s="12">
        <f>Flowsheet!R101</f>
        <v>17.861968999999998</v>
      </c>
      <c r="E15" s="12">
        <v>35</v>
      </c>
      <c r="F15" s="123"/>
      <c r="G15" s="123"/>
      <c r="N15" s="82"/>
      <c r="O15" s="91"/>
      <c r="R15" s="82"/>
      <c r="S15" s="96"/>
      <c r="T15" s="95"/>
    </row>
    <row r="16" spans="2:25" x14ac:dyDescent="0.55000000000000004">
      <c r="B16" s="19" t="s">
        <v>559</v>
      </c>
      <c r="D16" s="89">
        <f>D15*$X$4*24</f>
        <v>77163.706080000004</v>
      </c>
      <c r="E16" s="89">
        <f>E15*$X$4*24</f>
        <v>151200</v>
      </c>
      <c r="F16" s="124"/>
      <c r="G16" s="124"/>
      <c r="N16" s="82"/>
      <c r="R16" s="82"/>
      <c r="S16" s="96"/>
      <c r="T16" s="95"/>
    </row>
    <row r="17" spans="2:23" x14ac:dyDescent="0.55000000000000004">
      <c r="N17" s="82"/>
      <c r="R17" s="82"/>
      <c r="S17" s="96"/>
      <c r="T17" s="95"/>
      <c r="W17" s="4"/>
    </row>
    <row r="18" spans="2:23" x14ac:dyDescent="0.55000000000000004">
      <c r="B18" s="149" t="s">
        <v>552</v>
      </c>
      <c r="C18" s="149"/>
      <c r="D18" s="149"/>
      <c r="E18" s="149"/>
      <c r="F18" s="149"/>
      <c r="L18" s="31"/>
      <c r="N18" s="82"/>
      <c r="R18" s="4"/>
      <c r="S18" s="96"/>
      <c r="T18" s="82"/>
    </row>
    <row r="19" spans="2:23" ht="15" customHeight="1" x14ac:dyDescent="0.55000000000000004">
      <c r="B19" s="19" t="s">
        <v>563</v>
      </c>
      <c r="C19" t="s">
        <v>634</v>
      </c>
      <c r="D19" s="19" t="s">
        <v>613</v>
      </c>
      <c r="E19" s="19" t="s">
        <v>617</v>
      </c>
      <c r="F19" s="19" t="s">
        <v>619</v>
      </c>
      <c r="G19" s="19" t="s">
        <v>618</v>
      </c>
      <c r="H19" s="19" t="s">
        <v>625</v>
      </c>
      <c r="I19" s="19" t="s">
        <v>626</v>
      </c>
      <c r="N19" s="82"/>
      <c r="R19" s="82"/>
      <c r="S19" s="82"/>
    </row>
    <row r="20" spans="2:23" x14ac:dyDescent="0.55000000000000004">
      <c r="B20" s="19" t="s">
        <v>554</v>
      </c>
      <c r="D20" s="84">
        <f>147+9</f>
        <v>156</v>
      </c>
      <c r="E20" s="84">
        <f>Flowsheet!AQ78</f>
        <v>114.621346</v>
      </c>
      <c r="F20" s="84">
        <v>0</v>
      </c>
      <c r="G20" s="84">
        <v>0</v>
      </c>
      <c r="H20" s="32">
        <f>E20</f>
        <v>114.621346</v>
      </c>
      <c r="I20" s="32">
        <f>E20</f>
        <v>114.621346</v>
      </c>
    </row>
    <row r="21" spans="2:23" x14ac:dyDescent="0.55000000000000004">
      <c r="B21" s="9" t="s">
        <v>156</v>
      </c>
      <c r="D21" s="32">
        <v>0</v>
      </c>
      <c r="E21" s="32">
        <f>Flowsheet!AM71*Flowsheet!AP56*1000/(Flowsheet!AQ73-Flowsheet!AX60)*3.6</f>
        <v>17.441094321215079</v>
      </c>
      <c r="F21" s="32">
        <v>0</v>
      </c>
      <c r="G21" s="32">
        <v>0</v>
      </c>
      <c r="H21" s="32">
        <f t="shared" ref="H21:H25" si="8">E21</f>
        <v>17.441094321215079</v>
      </c>
      <c r="I21" s="32">
        <f t="shared" ref="I21:I25" si="9">E21</f>
        <v>17.441094321215079</v>
      </c>
      <c r="M21" s="91"/>
      <c r="R21" s="127"/>
      <c r="U21" s="127"/>
    </row>
    <row r="22" spans="2:23" x14ac:dyDescent="0.55000000000000004">
      <c r="B22" s="9" t="s">
        <v>555</v>
      </c>
      <c r="D22" s="32">
        <f>D20-D21</f>
        <v>156</v>
      </c>
      <c r="E22" s="32">
        <f>E20-E21</f>
        <v>97.180251678784927</v>
      </c>
      <c r="F22" s="32">
        <v>0</v>
      </c>
      <c r="G22" s="32">
        <v>0</v>
      </c>
      <c r="H22" s="32">
        <f t="shared" si="8"/>
        <v>97.180251678784927</v>
      </c>
      <c r="I22" s="32">
        <f t="shared" si="9"/>
        <v>97.180251678784927</v>
      </c>
    </row>
    <row r="23" spans="2:23" x14ac:dyDescent="0.55000000000000004">
      <c r="B23" s="19" t="s">
        <v>557</v>
      </c>
      <c r="D23" s="84">
        <f>171+13</f>
        <v>184</v>
      </c>
      <c r="E23" s="84">
        <f>Flowsheet!Z78</f>
        <v>115.117645</v>
      </c>
      <c r="F23" s="84">
        <v>163</v>
      </c>
      <c r="G23" s="84">
        <v>119</v>
      </c>
      <c r="H23" s="32">
        <f t="shared" si="8"/>
        <v>115.117645</v>
      </c>
      <c r="I23" s="32">
        <f t="shared" si="9"/>
        <v>115.117645</v>
      </c>
    </row>
    <row r="24" spans="2:23" x14ac:dyDescent="0.55000000000000004">
      <c r="B24" s="9" t="s">
        <v>156</v>
      </c>
      <c r="D24" s="32">
        <v>0</v>
      </c>
      <c r="E24" s="32">
        <v>0</v>
      </c>
      <c r="F24" s="32">
        <v>0</v>
      </c>
      <c r="G24" s="32">
        <v>1</v>
      </c>
      <c r="H24" s="32">
        <f t="shared" si="8"/>
        <v>0</v>
      </c>
      <c r="I24" s="32">
        <f t="shared" si="9"/>
        <v>0</v>
      </c>
    </row>
    <row r="25" spans="2:23" x14ac:dyDescent="0.55000000000000004">
      <c r="B25" s="9" t="s">
        <v>555</v>
      </c>
      <c r="D25" s="32">
        <f>D23-D24</f>
        <v>184</v>
      </c>
      <c r="E25" s="32">
        <f>E23-E24</f>
        <v>115.117645</v>
      </c>
      <c r="F25" s="32">
        <f>F23-F24</f>
        <v>163</v>
      </c>
      <c r="G25" s="32">
        <f>G23-G24</f>
        <v>118</v>
      </c>
      <c r="H25" s="32">
        <f t="shared" si="8"/>
        <v>115.117645</v>
      </c>
      <c r="I25" s="32">
        <f t="shared" si="9"/>
        <v>115.117645</v>
      </c>
    </row>
    <row r="26" spans="2:23" x14ac:dyDescent="0.55000000000000004">
      <c r="B26" s="19" t="s">
        <v>558</v>
      </c>
      <c r="D26" s="84">
        <v>144</v>
      </c>
      <c r="E26" s="84">
        <f ca="1">Flowsheet!I79</f>
        <v>45.834892667231159</v>
      </c>
      <c r="F26" s="84">
        <v>46</v>
      </c>
      <c r="G26" s="84">
        <v>69</v>
      </c>
      <c r="H26" s="84">
        <v>87</v>
      </c>
      <c r="I26" s="9">
        <v>92</v>
      </c>
    </row>
    <row r="27" spans="2:23" x14ac:dyDescent="0.55000000000000004">
      <c r="B27" s="9" t="s">
        <v>156</v>
      </c>
      <c r="D27" s="32">
        <v>44</v>
      </c>
      <c r="E27" s="32">
        <f>Flowsheet!I77</f>
        <v>42.855059278186737</v>
      </c>
      <c r="F27" s="32">
        <v>46</v>
      </c>
      <c r="G27" s="32">
        <v>69</v>
      </c>
      <c r="H27" s="32">
        <v>43</v>
      </c>
      <c r="I27" s="9">
        <v>12</v>
      </c>
    </row>
    <row r="28" spans="2:23" x14ac:dyDescent="0.55000000000000004">
      <c r="B28" s="9" t="s">
        <v>553</v>
      </c>
      <c r="D28" s="32">
        <v>100</v>
      </c>
      <c r="E28" s="32">
        <f ca="1">Flowsheet!I76</f>
        <v>2.9798333890444226</v>
      </c>
      <c r="F28" s="32">
        <f>Flowsheet!J76</f>
        <v>0</v>
      </c>
      <c r="G28" s="32">
        <f>Flowsheet!K76</f>
        <v>0</v>
      </c>
      <c r="H28" s="9">
        <v>44</v>
      </c>
      <c r="I28" s="9">
        <v>80</v>
      </c>
    </row>
    <row r="29" spans="2:23" x14ac:dyDescent="0.55000000000000004">
      <c r="B29" s="19" t="s">
        <v>556</v>
      </c>
      <c r="D29" s="84">
        <f t="shared" ref="D29:I29" si="10">D26+D23+D20</f>
        <v>484</v>
      </c>
      <c r="E29" s="84">
        <f t="shared" ca="1" si="10"/>
        <v>275.57388366723114</v>
      </c>
      <c r="F29" s="84">
        <f t="shared" si="10"/>
        <v>209</v>
      </c>
      <c r="G29" s="84">
        <f t="shared" si="10"/>
        <v>188</v>
      </c>
      <c r="H29" s="84">
        <f t="shared" si="10"/>
        <v>316.738991</v>
      </c>
      <c r="I29" s="84">
        <f t="shared" si="10"/>
        <v>321.738991</v>
      </c>
    </row>
    <row r="34" spans="3:3" x14ac:dyDescent="0.55000000000000004">
      <c r="C34" t="s">
        <v>576</v>
      </c>
    </row>
  </sheetData>
  <mergeCells count="4">
    <mergeCell ref="B18:F18"/>
    <mergeCell ref="W3:Y3"/>
    <mergeCell ref="B13:F13"/>
    <mergeCell ref="B3:H3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220f5dc3-9452-48e5-9b4f-888df42f7a2d}" enabled="0" method="" siteId="{220f5dc3-9452-48e5-9b4f-888df42f7a2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Steam Demand Data</vt:lpstr>
      <vt:lpstr>Scenario Setup</vt:lpstr>
      <vt:lpstr>ML Parameters</vt:lpstr>
      <vt:lpstr>Flowsheet</vt:lpstr>
      <vt:lpstr>Results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Hall, Keegan</dc:creator>
  <cp:keywords/>
  <dc:description/>
  <cp:lastModifiedBy>Keegan Hall</cp:lastModifiedBy>
  <cp:revision/>
  <cp:lastPrinted>2025-03-20T20:09:20Z</cp:lastPrinted>
  <dcterms:created xsi:type="dcterms:W3CDTF">2023-05-02T21:01:51Z</dcterms:created>
  <dcterms:modified xsi:type="dcterms:W3CDTF">2025-08-12T22:08:03Z</dcterms:modified>
  <cp:category/>
  <cp:contentStatus/>
</cp:coreProperties>
</file>